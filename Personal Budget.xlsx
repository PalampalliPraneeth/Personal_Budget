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drawings/drawing4.xml" ContentType="application/vnd.openxmlformats-officedocument.drawing+xml"/>
  <Override PartName="/xl/tables/table2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praneethkumarreddypalampalli/Documents/Personal/"/>
    </mc:Choice>
  </mc:AlternateContent>
  <xr:revisionPtr revIDLastSave="0" documentId="13_ncr:1_{E9598DD7-81A9-8046-A677-E1FE9D541795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Sheet2" sheetId="11" r:id="rId1"/>
    <sheet name="Loan Payments" sheetId="12" r:id="rId2"/>
    <sheet name="2026" sheetId="8" r:id="rId3"/>
    <sheet name="2026 Visualizations" sheetId="10" r:id="rId4"/>
    <sheet name="2025" sheetId="4" r:id="rId5"/>
    <sheet name="2025 Visualizations" sheetId="5" r:id="rId6"/>
    <sheet name="Sheet1" sheetId="2" r:id="rId7"/>
    <sheet name="Personal net worth" sheetId="7" r:id="rId8"/>
    <sheet name="New Sheet" sheetId="9" r:id="rId9"/>
  </sheets>
  <externalReferences>
    <externalReference r:id="rId10"/>
    <externalReference r:id="rId11"/>
  </externalReferences>
  <definedNames>
    <definedName name="LastCol" localSheetId="4">COUNTA('2025'!$7:$7)+1</definedName>
    <definedName name="LastCol" localSheetId="2">COUNTA('2026'!$7:$7)+1</definedName>
    <definedName name="LastCol" localSheetId="8">COUNTA('New Sheet'!$7:$7)+1</definedName>
    <definedName name="LastCol">COUNTA(#REF!)+1</definedName>
    <definedName name="PrintArea_SET" localSheetId="4">OFFSET('2025'!#REF!,,,MATCH(REPT("z",255),'2025'!$A:$A),'2025'!LastCol)</definedName>
    <definedName name="PrintArea_SET" localSheetId="2">OFFSET('2026'!#REF!,,,MATCH(REPT("z",255),'2026'!$A:$A),'2026'!LastCol)</definedName>
    <definedName name="PrintArea_SET" localSheetId="8">OFFSET('New Sheet'!#REF!,,,MATCH(REPT("z",255),'New Sheet'!$A:$A),'New Sheet'!LastCol)</definedName>
    <definedName name="PrintArea_SET">OFFSET(#REF!,,,MATCH(REPT("z",255),#REF!),LastCol)</definedName>
    <definedName name="Savings">[1]Data!$E$3</definedName>
  </definedNames>
  <calcPr calcId="191029"/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8" l="1"/>
  <c r="N103" i="8"/>
  <c r="H110" i="8"/>
  <c r="I110" i="8"/>
  <c r="J110" i="8"/>
  <c r="K110" i="8"/>
  <c r="L110" i="8"/>
  <c r="M110" i="8"/>
  <c r="G110" i="8"/>
  <c r="H113" i="8"/>
  <c r="H50" i="8"/>
  <c r="H28" i="8"/>
  <c r="H35" i="8"/>
  <c r="H59" i="8"/>
  <c r="H10" i="8"/>
  <c r="H90" i="8"/>
  <c r="G31" i="8"/>
  <c r="G29" i="8"/>
  <c r="G50" i="8"/>
  <c r="G91" i="8"/>
  <c r="G28" i="8"/>
  <c r="H9" i="8"/>
  <c r="G59" i="8"/>
  <c r="G87" i="8"/>
  <c r="G90" i="8"/>
  <c r="G10" i="8"/>
  <c r="G26" i="8"/>
  <c r="D88" i="8"/>
  <c r="E88" i="8"/>
  <c r="F88" i="8"/>
  <c r="N88" i="8"/>
  <c r="N100" i="8"/>
  <c r="N101" i="8"/>
  <c r="N102" i="8"/>
  <c r="N104" i="8"/>
  <c r="N105" i="8"/>
  <c r="N106" i="8"/>
  <c r="N107" i="8"/>
  <c r="N99" i="8"/>
  <c r="R106" i="8"/>
  <c r="R105" i="8"/>
  <c r="R104" i="8"/>
  <c r="Q103" i="8"/>
  <c r="Q102" i="8"/>
  <c r="R102" i="8" s="1"/>
  <c r="R101" i="8"/>
  <c r="P100" i="8"/>
  <c r="R100" i="8" s="1"/>
  <c r="R99" i="8"/>
  <c r="Q107" i="8" l="1"/>
  <c r="G9" i="8"/>
  <c r="G13" i="8"/>
  <c r="N31" i="8"/>
  <c r="F29" i="8"/>
  <c r="F28" i="8"/>
  <c r="D5" i="12"/>
  <c r="D2" i="12"/>
  <c r="D9" i="12"/>
  <c r="D8" i="12"/>
  <c r="D7" i="12"/>
  <c r="C6" i="12"/>
  <c r="C5" i="12"/>
  <c r="D4" i="12"/>
  <c r="B3" i="12"/>
  <c r="D3" i="12" s="1"/>
  <c r="F59" i="8"/>
  <c r="F68" i="8" s="1"/>
  <c r="F82" i="8"/>
  <c r="F84" i="8" s="1"/>
  <c r="F84" i="10" s="1"/>
  <c r="F21" i="8"/>
  <c r="F22" i="8" s="1"/>
  <c r="F12" i="8"/>
  <c r="F90" i="8"/>
  <c r="N90" i="8" s="1"/>
  <c r="F10" i="8"/>
  <c r="F87" i="8"/>
  <c r="E28" i="8"/>
  <c r="N73" i="8"/>
  <c r="N78" i="8"/>
  <c r="E35" i="8"/>
  <c r="E29" i="8"/>
  <c r="E95" i="8"/>
  <c r="N95" i="8" s="1"/>
  <c r="N96" i="8" s="1"/>
  <c r="E12" i="8"/>
  <c r="E13" i="8" s="1"/>
  <c r="E110" i="8" s="1"/>
  <c r="E60" i="8"/>
  <c r="E68" i="8" s="1"/>
  <c r="O58" i="8"/>
  <c r="P58" i="8"/>
  <c r="O65" i="8"/>
  <c r="E50" i="8"/>
  <c r="N50" i="8" s="1"/>
  <c r="E87" i="8"/>
  <c r="E92" i="8" s="1"/>
  <c r="E85" i="10" s="1"/>
  <c r="L80" i="10" s="1"/>
  <c r="E82" i="8"/>
  <c r="E84" i="8" s="1"/>
  <c r="E84" i="10" s="1"/>
  <c r="O64" i="8"/>
  <c r="P64" i="8"/>
  <c r="D21" i="8"/>
  <c r="D28" i="8"/>
  <c r="D60" i="8"/>
  <c r="D68" i="8" s="1"/>
  <c r="D29" i="8"/>
  <c r="D35" i="8"/>
  <c r="D30" i="8"/>
  <c r="N30" i="8" s="1"/>
  <c r="D52" i="8"/>
  <c r="N52" i="8" s="1"/>
  <c r="D87" i="8"/>
  <c r="D92" i="8" s="1"/>
  <c r="D85" i="10" s="1"/>
  <c r="L79" i="10" s="1"/>
  <c r="N83" i="8"/>
  <c r="C87" i="8"/>
  <c r="C92" i="8" s="1"/>
  <c r="C85" i="10" s="1"/>
  <c r="L78" i="10" s="1"/>
  <c r="C12" i="8"/>
  <c r="C13" i="8" s="1"/>
  <c r="C110" i="8" s="1"/>
  <c r="N27" i="8"/>
  <c r="B38" i="5"/>
  <c r="B37" i="5"/>
  <c r="B36" i="5"/>
  <c r="C40" i="5"/>
  <c r="C39" i="5"/>
  <c r="C38" i="5"/>
  <c r="C37" i="5"/>
  <c r="C36" i="5"/>
  <c r="D24" i="5"/>
  <c r="D25" i="5"/>
  <c r="D93" i="9"/>
  <c r="D92" i="9"/>
  <c r="D91" i="9"/>
  <c r="D90" i="9"/>
  <c r="M87" i="9"/>
  <c r="L87" i="9"/>
  <c r="K87" i="9"/>
  <c r="J87" i="9"/>
  <c r="I87" i="9"/>
  <c r="H87" i="9"/>
  <c r="G87" i="9"/>
  <c r="F87" i="9"/>
  <c r="E87" i="9"/>
  <c r="D87" i="9"/>
  <c r="C87" i="9"/>
  <c r="B87" i="9"/>
  <c r="N86" i="9"/>
  <c r="N87" i="9" s="1"/>
  <c r="M83" i="9"/>
  <c r="L83" i="9"/>
  <c r="K83" i="9"/>
  <c r="J83" i="9"/>
  <c r="I83" i="9"/>
  <c r="H83" i="9"/>
  <c r="G83" i="9"/>
  <c r="F83" i="9"/>
  <c r="E83" i="9"/>
  <c r="D83" i="9"/>
  <c r="C83" i="9"/>
  <c r="B83" i="9"/>
  <c r="N82" i="9"/>
  <c r="N81" i="9"/>
  <c r="N80" i="9"/>
  <c r="N79" i="9"/>
  <c r="N83" i="9" s="1"/>
  <c r="M76" i="9"/>
  <c r="L76" i="9"/>
  <c r="K76" i="9"/>
  <c r="J76" i="9"/>
  <c r="I76" i="9"/>
  <c r="H76" i="9"/>
  <c r="G76" i="9"/>
  <c r="F76" i="9"/>
  <c r="E76" i="9"/>
  <c r="D76" i="9"/>
  <c r="C76" i="9"/>
  <c r="B76" i="9"/>
  <c r="N75" i="9"/>
  <c r="N74" i="9"/>
  <c r="N73" i="9"/>
  <c r="N72" i="9"/>
  <c r="N76" i="9" s="1"/>
  <c r="M69" i="9"/>
  <c r="L69" i="9"/>
  <c r="K69" i="9"/>
  <c r="J69" i="9"/>
  <c r="I69" i="9"/>
  <c r="H69" i="9"/>
  <c r="G69" i="9"/>
  <c r="F69" i="9"/>
  <c r="E69" i="9"/>
  <c r="D69" i="9"/>
  <c r="C69" i="9"/>
  <c r="B69" i="9"/>
  <c r="N68" i="9"/>
  <c r="N67" i="9"/>
  <c r="N66" i="9"/>
  <c r="N69" i="9" s="1"/>
  <c r="N63" i="9"/>
  <c r="M63" i="9"/>
  <c r="M100" i="9" s="1"/>
  <c r="L63" i="9"/>
  <c r="L100" i="9" s="1"/>
  <c r="K63" i="9"/>
  <c r="K100" i="9" s="1"/>
  <c r="J63" i="9"/>
  <c r="J100" i="9" s="1"/>
  <c r="I63" i="9"/>
  <c r="I100" i="9" s="1"/>
  <c r="N100" i="9" s="1"/>
  <c r="H63" i="9"/>
  <c r="H100" i="9" s="1"/>
  <c r="G63" i="9"/>
  <c r="G100" i="9" s="1"/>
  <c r="F63" i="9"/>
  <c r="F100" i="9" s="1"/>
  <c r="E63" i="9"/>
  <c r="E100" i="9" s="1"/>
  <c r="D63" i="9"/>
  <c r="D100" i="9" s="1"/>
  <c r="C63" i="9"/>
  <c r="C100" i="9" s="1"/>
  <c r="B63" i="9"/>
  <c r="B100" i="9" s="1"/>
  <c r="P62" i="9"/>
  <c r="O62" i="9"/>
  <c r="P61" i="9"/>
  <c r="O61" i="9"/>
  <c r="P60" i="9"/>
  <c r="O60" i="9"/>
  <c r="P59" i="9"/>
  <c r="O59" i="9"/>
  <c r="P58" i="9"/>
  <c r="O58" i="9"/>
  <c r="P57" i="9"/>
  <c r="O57" i="9"/>
  <c r="P56" i="9"/>
  <c r="O56" i="9"/>
  <c r="P55" i="9"/>
  <c r="O55" i="9"/>
  <c r="P54" i="9"/>
  <c r="P63" i="9" s="1"/>
  <c r="O54" i="9"/>
  <c r="O63" i="9" s="1"/>
  <c r="M51" i="9"/>
  <c r="L51" i="9"/>
  <c r="K51" i="9"/>
  <c r="J51" i="9"/>
  <c r="I51" i="9"/>
  <c r="H51" i="9"/>
  <c r="G51" i="9"/>
  <c r="F51" i="9"/>
  <c r="E51" i="9"/>
  <c r="D51" i="9"/>
  <c r="C51" i="9"/>
  <c r="B51" i="9"/>
  <c r="N50" i="9"/>
  <c r="N49" i="9"/>
  <c r="N48" i="9"/>
  <c r="N47" i="9"/>
  <c r="N46" i="9"/>
  <c r="N51" i="9" s="1"/>
  <c r="P43" i="9"/>
  <c r="M43" i="9"/>
  <c r="L43" i="9"/>
  <c r="K43" i="9"/>
  <c r="J43" i="9"/>
  <c r="I43" i="9"/>
  <c r="H43" i="9"/>
  <c r="G43" i="9"/>
  <c r="F43" i="9"/>
  <c r="E43" i="9"/>
  <c r="D43" i="9"/>
  <c r="C43" i="9"/>
  <c r="B43" i="9"/>
  <c r="N42" i="9"/>
  <c r="N41" i="9"/>
  <c r="N40" i="9"/>
  <c r="N39" i="9"/>
  <c r="N38" i="9"/>
  <c r="N37" i="9"/>
  <c r="N43" i="9" s="1"/>
  <c r="M34" i="9"/>
  <c r="L34" i="9"/>
  <c r="K34" i="9"/>
  <c r="J34" i="9"/>
  <c r="I34" i="9"/>
  <c r="H34" i="9"/>
  <c r="G34" i="9"/>
  <c r="F34" i="9"/>
  <c r="E34" i="9"/>
  <c r="D34" i="9"/>
  <c r="C34" i="9"/>
  <c r="B34" i="9"/>
  <c r="N33" i="9"/>
  <c r="N32" i="9"/>
  <c r="N31" i="9"/>
  <c r="N34" i="9" s="1"/>
  <c r="M28" i="9"/>
  <c r="L28" i="9"/>
  <c r="K28" i="9"/>
  <c r="J28" i="9"/>
  <c r="I28" i="9"/>
  <c r="H28" i="9"/>
  <c r="G28" i="9"/>
  <c r="F28" i="9"/>
  <c r="E28" i="9"/>
  <c r="D28" i="9"/>
  <c r="C28" i="9"/>
  <c r="B28" i="9"/>
  <c r="N27" i="9"/>
  <c r="N26" i="9"/>
  <c r="N25" i="9"/>
  <c r="N24" i="9"/>
  <c r="N28" i="9" s="1"/>
  <c r="M21" i="9"/>
  <c r="L21" i="9"/>
  <c r="K21" i="9"/>
  <c r="J21" i="9"/>
  <c r="I21" i="9"/>
  <c r="H21" i="9"/>
  <c r="G21" i="9"/>
  <c r="F21" i="9"/>
  <c r="E21" i="9"/>
  <c r="D21" i="9"/>
  <c r="C21" i="9"/>
  <c r="B21" i="9"/>
  <c r="N20" i="9"/>
  <c r="N19" i="9"/>
  <c r="N18" i="9"/>
  <c r="N17" i="9"/>
  <c r="N21" i="9" s="1"/>
  <c r="M13" i="9"/>
  <c r="L13" i="9"/>
  <c r="K13" i="9"/>
  <c r="J13" i="9"/>
  <c r="I13" i="9"/>
  <c r="H13" i="9"/>
  <c r="G13" i="9"/>
  <c r="F13" i="9"/>
  <c r="E13" i="9"/>
  <c r="D13" i="9"/>
  <c r="C13" i="9"/>
  <c r="B13" i="9"/>
  <c r="N12" i="9"/>
  <c r="N11" i="9"/>
  <c r="N10" i="9"/>
  <c r="N9" i="9"/>
  <c r="N13" i="9" s="1"/>
  <c r="B3" i="9"/>
  <c r="O62" i="8"/>
  <c r="O66" i="8"/>
  <c r="O61" i="8"/>
  <c r="O57" i="4"/>
  <c r="P63" i="8"/>
  <c r="O67" i="8"/>
  <c r="N36" i="8"/>
  <c r="N37" i="8"/>
  <c r="M96" i="8"/>
  <c r="L96" i="8"/>
  <c r="K96" i="8"/>
  <c r="J96" i="8"/>
  <c r="I96" i="8"/>
  <c r="H96" i="8"/>
  <c r="G96" i="8"/>
  <c r="F96" i="8"/>
  <c r="D96" i="8"/>
  <c r="C96" i="8"/>
  <c r="B96" i="8"/>
  <c r="M92" i="8"/>
  <c r="H92" i="8"/>
  <c r="G92" i="8"/>
  <c r="B92" i="8"/>
  <c r="B85" i="10" s="1"/>
  <c r="L77" i="10" s="1"/>
  <c r="N91" i="8"/>
  <c r="N89" i="8"/>
  <c r="L92" i="8"/>
  <c r="K92" i="8"/>
  <c r="J92" i="8"/>
  <c r="M84" i="8"/>
  <c r="J84" i="8"/>
  <c r="I84" i="8"/>
  <c r="H84" i="8"/>
  <c r="G84" i="8"/>
  <c r="D84" i="8"/>
  <c r="D84" i="10" s="1"/>
  <c r="C84" i="8"/>
  <c r="C84" i="10" s="1"/>
  <c r="B84" i="8"/>
  <c r="B84" i="10" s="1"/>
  <c r="L84" i="8"/>
  <c r="N81" i="8"/>
  <c r="N80" i="8"/>
  <c r="N79" i="8"/>
  <c r="M75" i="8"/>
  <c r="L75" i="8"/>
  <c r="K75" i="8"/>
  <c r="J75" i="8"/>
  <c r="I75" i="8"/>
  <c r="H75" i="8"/>
  <c r="G75" i="8"/>
  <c r="F75" i="8"/>
  <c r="F83" i="10" s="1"/>
  <c r="E75" i="8"/>
  <c r="E83" i="10" s="1"/>
  <c r="D75" i="8"/>
  <c r="D83" i="10" s="1"/>
  <c r="C75" i="8"/>
  <c r="C83" i="10" s="1"/>
  <c r="B75" i="8"/>
  <c r="B83" i="10" s="1"/>
  <c r="N74" i="8"/>
  <c r="N72" i="8"/>
  <c r="N71" i="8"/>
  <c r="N68" i="8"/>
  <c r="M68" i="8"/>
  <c r="M117" i="8" s="1"/>
  <c r="L68" i="8"/>
  <c r="L117" i="8" s="1"/>
  <c r="K68" i="8"/>
  <c r="K117" i="8" s="1"/>
  <c r="J68" i="8"/>
  <c r="J117" i="8" s="1"/>
  <c r="I68" i="8"/>
  <c r="I117" i="8" s="1"/>
  <c r="H68" i="8"/>
  <c r="H117" i="8" s="1"/>
  <c r="G68" i="8"/>
  <c r="G117" i="8" s="1"/>
  <c r="C68" i="8"/>
  <c r="B68" i="8"/>
  <c r="P67" i="8"/>
  <c r="P66" i="8"/>
  <c r="P61" i="8"/>
  <c r="P65" i="8"/>
  <c r="P62" i="8"/>
  <c r="M55" i="8"/>
  <c r="K55" i="8"/>
  <c r="J55" i="8"/>
  <c r="I55" i="8"/>
  <c r="H55" i="8"/>
  <c r="G55" i="8"/>
  <c r="F55" i="8"/>
  <c r="F81" i="10" s="1"/>
  <c r="C55" i="8"/>
  <c r="C81" i="10" s="1"/>
  <c r="B55" i="8"/>
  <c r="B81" i="10" s="1"/>
  <c r="N54" i="8"/>
  <c r="N53" i="8"/>
  <c r="N51" i="8"/>
  <c r="P47" i="8"/>
  <c r="P103" i="8" s="1"/>
  <c r="M47" i="8"/>
  <c r="K47" i="8"/>
  <c r="J47" i="8"/>
  <c r="I47" i="8"/>
  <c r="H47" i="8"/>
  <c r="G47" i="8"/>
  <c r="F47" i="8"/>
  <c r="F80" i="10" s="1"/>
  <c r="E47" i="8"/>
  <c r="E80" i="10" s="1"/>
  <c r="D47" i="8"/>
  <c r="C47" i="8"/>
  <c r="C80" i="10" s="1"/>
  <c r="B47" i="8"/>
  <c r="B80" i="10" s="1"/>
  <c r="N46" i="8"/>
  <c r="N45" i="8"/>
  <c r="N44" i="8"/>
  <c r="N43" i="8"/>
  <c r="N41" i="8"/>
  <c r="M38" i="8"/>
  <c r="L38" i="8"/>
  <c r="K38" i="8"/>
  <c r="J38" i="8"/>
  <c r="I38" i="8"/>
  <c r="H38" i="8"/>
  <c r="G38" i="8"/>
  <c r="F38" i="8"/>
  <c r="F79" i="10" s="1"/>
  <c r="E38" i="8"/>
  <c r="E79" i="10" s="1"/>
  <c r="C38" i="8"/>
  <c r="C79" i="10" s="1"/>
  <c r="B38" i="8"/>
  <c r="B79" i="10" s="1"/>
  <c r="M32" i="8"/>
  <c r="J32" i="8"/>
  <c r="H32" i="8"/>
  <c r="G32" i="8"/>
  <c r="C32" i="8"/>
  <c r="B32" i="8"/>
  <c r="B78" i="10" s="1"/>
  <c r="L32" i="8"/>
  <c r="N25" i="8"/>
  <c r="M22" i="8"/>
  <c r="L22" i="8"/>
  <c r="K22" i="8"/>
  <c r="J22" i="8"/>
  <c r="I22" i="8"/>
  <c r="H22" i="8"/>
  <c r="G22" i="8"/>
  <c r="E22" i="8"/>
  <c r="C22" i="8"/>
  <c r="B22" i="8"/>
  <c r="N20" i="8"/>
  <c r="N19" i="8"/>
  <c r="N18" i="8"/>
  <c r="N17" i="8"/>
  <c r="M13" i="8"/>
  <c r="K13" i="8"/>
  <c r="J13" i="8"/>
  <c r="I13" i="8"/>
  <c r="H13" i="8"/>
  <c r="D13" i="8"/>
  <c r="D110" i="8" s="1"/>
  <c r="B13" i="8"/>
  <c r="N11" i="8"/>
  <c r="L79" i="4"/>
  <c r="N79" i="4" s="1"/>
  <c r="K73" i="4"/>
  <c r="L73" i="4"/>
  <c r="L46" i="4"/>
  <c r="L38" i="4"/>
  <c r="L77" i="4"/>
  <c r="E32" i="5" s="1"/>
  <c r="L25" i="4"/>
  <c r="K25" i="4"/>
  <c r="I51" i="4"/>
  <c r="N61" i="4"/>
  <c r="L9" i="4"/>
  <c r="K77" i="4"/>
  <c r="P43" i="4"/>
  <c r="B24" i="5"/>
  <c r="E7" i="7"/>
  <c r="N5" i="7"/>
  <c r="O5" i="7" s="1"/>
  <c r="E5" i="7"/>
  <c r="N4" i="7"/>
  <c r="O4" i="7" s="1"/>
  <c r="C4" i="7"/>
  <c r="N3" i="7"/>
  <c r="O3" i="7" s="1"/>
  <c r="U2" i="7"/>
  <c r="N2" i="7"/>
  <c r="O2" i="7" s="1"/>
  <c r="U1" i="7"/>
  <c r="N1" i="7"/>
  <c r="O1" i="7" s="1"/>
  <c r="F3" i="2"/>
  <c r="D32" i="5"/>
  <c r="F32" i="5"/>
  <c r="C31" i="5"/>
  <c r="F31" i="5"/>
  <c r="C30" i="5"/>
  <c r="D30" i="5"/>
  <c r="E30" i="5"/>
  <c r="B39" i="5" s="1"/>
  <c r="F30" i="5"/>
  <c r="C29" i="5"/>
  <c r="D29" i="5"/>
  <c r="E29" i="5"/>
  <c r="F29" i="5"/>
  <c r="B31" i="5"/>
  <c r="B30" i="5"/>
  <c r="B29" i="5"/>
  <c r="C28" i="5"/>
  <c r="D28" i="5"/>
  <c r="F28" i="5"/>
  <c r="C27" i="5"/>
  <c r="D27" i="5"/>
  <c r="F27" i="5"/>
  <c r="B28" i="5"/>
  <c r="B27" i="5"/>
  <c r="C26" i="5"/>
  <c r="D26" i="5"/>
  <c r="E26" i="5"/>
  <c r="F26" i="5"/>
  <c r="B26" i="5"/>
  <c r="C25" i="5"/>
  <c r="F25" i="5"/>
  <c r="C24" i="5"/>
  <c r="E24" i="5"/>
  <c r="F24" i="5"/>
  <c r="B3" i="4"/>
  <c r="O54" i="4"/>
  <c r="J77" i="4"/>
  <c r="M84" i="4"/>
  <c r="L84" i="4"/>
  <c r="K84" i="4"/>
  <c r="J84" i="4"/>
  <c r="I84" i="4"/>
  <c r="H84" i="4"/>
  <c r="G84" i="4"/>
  <c r="F84" i="4"/>
  <c r="E84" i="4"/>
  <c r="D84" i="4"/>
  <c r="C84" i="4"/>
  <c r="B84" i="4"/>
  <c r="N83" i="4"/>
  <c r="N84" i="4" s="1"/>
  <c r="M80" i="4"/>
  <c r="L80" i="4"/>
  <c r="K80" i="4"/>
  <c r="H80" i="4"/>
  <c r="G80" i="4"/>
  <c r="F80" i="4"/>
  <c r="E80" i="4"/>
  <c r="D80" i="4"/>
  <c r="C80" i="4"/>
  <c r="B80" i="4"/>
  <c r="N78" i="4"/>
  <c r="I77" i="4"/>
  <c r="B32" i="5" s="1"/>
  <c r="M74" i="4"/>
  <c r="J74" i="4"/>
  <c r="I74" i="4"/>
  <c r="H74" i="4"/>
  <c r="G74" i="4"/>
  <c r="F74" i="4"/>
  <c r="E74" i="4"/>
  <c r="D74" i="4"/>
  <c r="C74" i="4"/>
  <c r="B74" i="4"/>
  <c r="N72" i="4"/>
  <c r="N71" i="4"/>
  <c r="N70" i="4"/>
  <c r="M67" i="4"/>
  <c r="L67" i="4"/>
  <c r="K67" i="4"/>
  <c r="J67" i="4"/>
  <c r="I67" i="4"/>
  <c r="H67" i="4"/>
  <c r="G67" i="4"/>
  <c r="F67" i="4"/>
  <c r="E67" i="4"/>
  <c r="D67" i="4"/>
  <c r="C67" i="4"/>
  <c r="B67" i="4"/>
  <c r="N66" i="4"/>
  <c r="N65" i="4"/>
  <c r="N64" i="4"/>
  <c r="N67" i="4" s="1"/>
  <c r="M61" i="4"/>
  <c r="M97" i="4" s="1"/>
  <c r="L61" i="4"/>
  <c r="L97" i="4" s="1"/>
  <c r="K61" i="4"/>
  <c r="K97" i="4" s="1"/>
  <c r="J61" i="4"/>
  <c r="J97" i="4" s="1"/>
  <c r="I61" i="4"/>
  <c r="I97" i="4" s="1"/>
  <c r="N97" i="4" s="1"/>
  <c r="H61" i="4"/>
  <c r="G61" i="4"/>
  <c r="F61" i="4"/>
  <c r="E61" i="4"/>
  <c r="D61" i="4"/>
  <c r="C61" i="4"/>
  <c r="B61" i="4"/>
  <c r="P60" i="4"/>
  <c r="P59" i="4"/>
  <c r="P58" i="4"/>
  <c r="O58" i="4"/>
  <c r="P57" i="4"/>
  <c r="P56" i="4"/>
  <c r="O56" i="4"/>
  <c r="P55" i="4"/>
  <c r="O55" i="4"/>
  <c r="P54" i="4"/>
  <c r="P61" i="4" s="1"/>
  <c r="M51" i="4"/>
  <c r="K51" i="4"/>
  <c r="J51" i="4"/>
  <c r="H51" i="4"/>
  <c r="G51" i="4"/>
  <c r="F51" i="4"/>
  <c r="E51" i="4"/>
  <c r="D51" i="4"/>
  <c r="C51" i="4"/>
  <c r="B51" i="4"/>
  <c r="N50" i="4"/>
  <c r="N49" i="4"/>
  <c r="N48" i="4"/>
  <c r="N47" i="4"/>
  <c r="N46" i="4"/>
  <c r="N51" i="4" s="1"/>
  <c r="M43" i="4"/>
  <c r="K43" i="4"/>
  <c r="J43" i="4"/>
  <c r="I43" i="4"/>
  <c r="H43" i="4"/>
  <c r="G43" i="4"/>
  <c r="F43" i="4"/>
  <c r="E43" i="4"/>
  <c r="D43" i="4"/>
  <c r="C43" i="4"/>
  <c r="B43" i="4"/>
  <c r="N42" i="4"/>
  <c r="N41" i="4"/>
  <c r="N40" i="4"/>
  <c r="N39" i="4"/>
  <c r="N37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N32" i="4"/>
  <c r="N31" i="4"/>
  <c r="N34" i="4" s="1"/>
  <c r="M28" i="4"/>
  <c r="J28" i="4"/>
  <c r="H28" i="4"/>
  <c r="G28" i="4"/>
  <c r="F28" i="4"/>
  <c r="E28" i="4"/>
  <c r="D28" i="4"/>
  <c r="C28" i="4"/>
  <c r="B28" i="4"/>
  <c r="N27" i="4"/>
  <c r="I26" i="4"/>
  <c r="N24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N19" i="4"/>
  <c r="N18" i="4"/>
  <c r="N17" i="4"/>
  <c r="N21" i="4" s="1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N11" i="4"/>
  <c r="N10" i="4"/>
  <c r="N9" i="4"/>
  <c r="X103" i="8" l="1"/>
  <c r="X107" i="8" s="1"/>
  <c r="W103" i="8"/>
  <c r="W107" i="8" s="1"/>
  <c r="N10" i="8"/>
  <c r="E55" i="8"/>
  <c r="E81" i="10" s="1"/>
  <c r="E96" i="8"/>
  <c r="P59" i="8"/>
  <c r="O59" i="8"/>
  <c r="F32" i="8"/>
  <c r="F78" i="10" s="1"/>
  <c r="D55" i="8"/>
  <c r="D81" i="10" s="1"/>
  <c r="N12" i="8"/>
  <c r="D32" i="8"/>
  <c r="D78" i="10" s="1"/>
  <c r="E32" i="8"/>
  <c r="E78" i="10" s="1"/>
  <c r="B6" i="12"/>
  <c r="D6" i="12" s="1"/>
  <c r="H6" i="12"/>
  <c r="H10" i="12" s="1"/>
  <c r="F13" i="8"/>
  <c r="F110" i="8" s="1"/>
  <c r="I6" i="12"/>
  <c r="I10" i="12" s="1"/>
  <c r="F92" i="8"/>
  <c r="F85" i="10" s="1"/>
  <c r="L81" i="10" s="1"/>
  <c r="C10" i="12"/>
  <c r="N28" i="8"/>
  <c r="H158" i="8"/>
  <c r="H157" i="8"/>
  <c r="N117" i="8"/>
  <c r="O60" i="8"/>
  <c r="P60" i="8"/>
  <c r="D22" i="8"/>
  <c r="D77" i="10" s="1"/>
  <c r="N21" i="8"/>
  <c r="N22" i="8" s="1"/>
  <c r="N75" i="8"/>
  <c r="D80" i="10"/>
  <c r="N35" i="8"/>
  <c r="N38" i="8" s="1"/>
  <c r="D38" i="8"/>
  <c r="C112" i="8"/>
  <c r="F77" i="10"/>
  <c r="E77" i="10"/>
  <c r="C77" i="10"/>
  <c r="B77" i="10"/>
  <c r="C78" i="10"/>
  <c r="F117" i="8"/>
  <c r="F82" i="10"/>
  <c r="E117" i="8"/>
  <c r="E82" i="10"/>
  <c r="D117" i="8"/>
  <c r="D82" i="10"/>
  <c r="C117" i="8"/>
  <c r="C82" i="10"/>
  <c r="B117" i="8"/>
  <c r="B82" i="10"/>
  <c r="B40" i="5"/>
  <c r="D31" i="5"/>
  <c r="K74" i="4"/>
  <c r="N73" i="4"/>
  <c r="N74" i="4" s="1"/>
  <c r="E31" i="5"/>
  <c r="L74" i="4"/>
  <c r="E28" i="5"/>
  <c r="L51" i="4"/>
  <c r="E27" i="5"/>
  <c r="L43" i="4"/>
  <c r="N38" i="4"/>
  <c r="N43" i="4" s="1"/>
  <c r="E25" i="5"/>
  <c r="L28" i="4"/>
  <c r="L95" i="4" s="1"/>
  <c r="K28" i="4"/>
  <c r="N25" i="4"/>
  <c r="C32" i="5"/>
  <c r="J80" i="4"/>
  <c r="J95" i="4" s="1"/>
  <c r="B94" i="9"/>
  <c r="B95" i="9" s="1"/>
  <c r="J94" i="9"/>
  <c r="J95" i="9" s="1"/>
  <c r="C94" i="9"/>
  <c r="I94" i="9"/>
  <c r="I95" i="9" s="1"/>
  <c r="B103" i="9" s="1"/>
  <c r="M98" i="9"/>
  <c r="M99" i="9"/>
  <c r="L98" i="9"/>
  <c r="L99" i="9"/>
  <c r="K99" i="9"/>
  <c r="K98" i="9"/>
  <c r="J98" i="9"/>
  <c r="J99" i="9"/>
  <c r="I98" i="9"/>
  <c r="I99" i="9"/>
  <c r="H98" i="9"/>
  <c r="H99" i="9"/>
  <c r="G98" i="9"/>
  <c r="G99" i="9"/>
  <c r="F98" i="9"/>
  <c r="F99" i="9"/>
  <c r="E99" i="9"/>
  <c r="E98" i="9"/>
  <c r="D99" i="9"/>
  <c r="D98" i="9"/>
  <c r="C98" i="9"/>
  <c r="C99" i="9"/>
  <c r="B99" i="9"/>
  <c r="B98" i="9"/>
  <c r="N99" i="9"/>
  <c r="N98" i="9"/>
  <c r="B112" i="8"/>
  <c r="B111" i="8"/>
  <c r="H112" i="8"/>
  <c r="H111" i="8"/>
  <c r="G111" i="8"/>
  <c r="G112" i="8"/>
  <c r="C111" i="8"/>
  <c r="L13" i="8"/>
  <c r="N9" i="8"/>
  <c r="J112" i="8"/>
  <c r="J111" i="8"/>
  <c r="M112" i="8"/>
  <c r="M111" i="8"/>
  <c r="K32" i="8"/>
  <c r="N26" i="8"/>
  <c r="I32" i="8"/>
  <c r="N29" i="8"/>
  <c r="L47" i="8"/>
  <c r="N42" i="8"/>
  <c r="N47" i="8" s="1"/>
  <c r="L55" i="8"/>
  <c r="N55" i="8"/>
  <c r="K84" i="8"/>
  <c r="N82" i="8"/>
  <c r="N84" i="8" s="1"/>
  <c r="I92" i="8"/>
  <c r="N87" i="8"/>
  <c r="N92" i="8" s="1"/>
  <c r="J96" i="4"/>
  <c r="L96" i="4"/>
  <c r="M96" i="4"/>
  <c r="J91" i="4"/>
  <c r="J92" i="4" s="1"/>
  <c r="I91" i="4"/>
  <c r="I92" i="4" s="1"/>
  <c r="I100" i="4" s="1"/>
  <c r="I28" i="4"/>
  <c r="I96" i="4" s="1"/>
  <c r="B25" i="5"/>
  <c r="O61" i="4"/>
  <c r="R5" i="7"/>
  <c r="I11" i="7" s="1"/>
  <c r="Q5" i="7"/>
  <c r="H11" i="7" s="1"/>
  <c r="R4" i="7"/>
  <c r="I13" i="7" s="1"/>
  <c r="Q4" i="7"/>
  <c r="H13" i="7" s="1"/>
  <c r="R3" i="7"/>
  <c r="I15" i="7" s="1"/>
  <c r="Q3" i="7"/>
  <c r="H15" i="7" s="1"/>
  <c r="R2" i="7"/>
  <c r="I17" i="7" s="1"/>
  <c r="Q2" i="7"/>
  <c r="H17" i="7" s="1"/>
  <c r="R1" i="7"/>
  <c r="I19" i="7" s="1"/>
  <c r="Q1" i="7"/>
  <c r="H19" i="7" s="1"/>
  <c r="N13" i="4"/>
  <c r="M95" i="4"/>
  <c r="N26" i="4"/>
  <c r="I80" i="4"/>
  <c r="N77" i="4"/>
  <c r="N80" i="4" s="1"/>
  <c r="B95" i="4"/>
  <c r="C95" i="4"/>
  <c r="D95" i="4"/>
  <c r="E95" i="4"/>
  <c r="F95" i="4"/>
  <c r="G95" i="4"/>
  <c r="H95" i="4"/>
  <c r="R103" i="8" l="1"/>
  <c r="P107" i="8"/>
  <c r="G5" i="8" s="1"/>
  <c r="P68" i="8"/>
  <c r="F111" i="8"/>
  <c r="H155" i="8"/>
  <c r="F112" i="8"/>
  <c r="B10" i="12"/>
  <c r="D10" i="12" s="1"/>
  <c r="N13" i="8"/>
  <c r="E112" i="8"/>
  <c r="E111" i="8"/>
  <c r="H154" i="8"/>
  <c r="H156" i="8"/>
  <c r="O68" i="8"/>
  <c r="A5" i="8" s="1"/>
  <c r="K81" i="10"/>
  <c r="D111" i="8"/>
  <c r="K80" i="10"/>
  <c r="K77" i="10"/>
  <c r="D79" i="10"/>
  <c r="K79" i="10" s="1"/>
  <c r="D112" i="8"/>
  <c r="K78" i="10"/>
  <c r="B120" i="8"/>
  <c r="N28" i="4"/>
  <c r="I95" i="4"/>
  <c r="K96" i="4"/>
  <c r="K95" i="4"/>
  <c r="D94" i="9"/>
  <c r="C95" i="9"/>
  <c r="D95" i="9" s="1"/>
  <c r="L112" i="8"/>
  <c r="L111" i="8"/>
  <c r="I112" i="8"/>
  <c r="I111" i="8"/>
  <c r="N32" i="8"/>
  <c r="K112" i="8"/>
  <c r="K111" i="8"/>
  <c r="R107" i="8" l="1"/>
  <c r="H159" i="8"/>
  <c r="I154" i="8" s="1"/>
  <c r="N96" i="4"/>
  <c r="N95" i="4"/>
  <c r="N112" i="8"/>
  <c r="N111" i="8"/>
  <c r="I155" i="8" l="1"/>
  <c r="I156" i="8"/>
  <c r="I158" i="8"/>
  <c r="I157" i="8"/>
  <c r="I159" i="8" l="1"/>
</calcChain>
</file>

<file path=xl/sharedStrings.xml><?xml version="1.0" encoding="utf-8"?>
<sst xmlns="http://schemas.openxmlformats.org/spreadsheetml/2006/main" count="922" uniqueCount="172">
  <si>
    <t>Category</t>
  </si>
  <si>
    <t>Aug</t>
  </si>
  <si>
    <t>Sept</t>
  </si>
  <si>
    <t>OCT</t>
  </si>
  <si>
    <t>Nov</t>
  </si>
  <si>
    <t>Dec</t>
  </si>
  <si>
    <t>Rent</t>
  </si>
  <si>
    <t>Grociers</t>
  </si>
  <si>
    <t>Transportation</t>
  </si>
  <si>
    <t>Credit Card</t>
  </si>
  <si>
    <t>Vacation</t>
  </si>
  <si>
    <t>Investment</t>
  </si>
  <si>
    <t>Internet bills</t>
  </si>
  <si>
    <t>Self care</t>
  </si>
  <si>
    <t>Remitances</t>
  </si>
  <si>
    <t xml:space="preserve"> </t>
  </si>
  <si>
    <t>REVENUE</t>
  </si>
  <si>
    <t>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</si>
  <si>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</si>
  <si>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</si>
  <si>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</si>
  <si>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</si>
  <si>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</si>
  <si>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</si>
  <si>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</si>
  <si>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</si>
  <si>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</si>
  <si>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</si>
  <si>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</si>
  <si>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YEAR</t>
  </si>
  <si>
    <t>Last Updated on</t>
  </si>
  <si>
    <t>Wages Week 1</t>
  </si>
  <si>
    <t xml:space="preserve"> Wages Week 2</t>
  </si>
  <si>
    <t xml:space="preserve"> Wages Week 3</t>
  </si>
  <si>
    <t xml:space="preserve"> Wages Week 4</t>
  </si>
  <si>
    <t>Total</t>
  </si>
  <si>
    <t>EXPENSES</t>
  </si>
  <si>
    <t>HOME</t>
  </si>
  <si>
    <t>Mortgage</t>
  </si>
  <si>
    <t>Insurance</t>
  </si>
  <si>
    <t>Deposit</t>
  </si>
  <si>
    <t>Utilities</t>
  </si>
  <si>
    <t>DAILY LIVING</t>
  </si>
  <si>
    <t>Split Wise</t>
  </si>
  <si>
    <t xml:space="preserve">Groceries </t>
  </si>
  <si>
    <t>Dining out</t>
  </si>
  <si>
    <t>Other home expenses</t>
  </si>
  <si>
    <t>TRANSPORTATION</t>
  </si>
  <si>
    <t>Public transportation</t>
  </si>
  <si>
    <t xml:space="preserve">Friends transportation </t>
  </si>
  <si>
    <t>Cabs</t>
  </si>
  <si>
    <t>Balance</t>
  </si>
  <si>
    <t>Chase</t>
  </si>
  <si>
    <t>Amex</t>
  </si>
  <si>
    <t>Still pending few on 10th</t>
  </si>
  <si>
    <t>Capital One</t>
  </si>
  <si>
    <t>Discover</t>
  </si>
  <si>
    <t>Citi</t>
  </si>
  <si>
    <t>BOFA</t>
  </si>
  <si>
    <t>VACATIONS</t>
  </si>
  <si>
    <t>Trips</t>
  </si>
  <si>
    <t>Accommodations</t>
  </si>
  <si>
    <t>Movies</t>
  </si>
  <si>
    <t>Airlines</t>
  </si>
  <si>
    <t>Rental car</t>
  </si>
  <si>
    <t>Current Value</t>
  </si>
  <si>
    <t>Invested Total</t>
  </si>
  <si>
    <t>Robinhood</t>
  </si>
  <si>
    <t>Fidelity</t>
  </si>
  <si>
    <t>Angel One</t>
  </si>
  <si>
    <t>Grow</t>
  </si>
  <si>
    <t>Coinbase</t>
  </si>
  <si>
    <t>Coin DCX</t>
  </si>
  <si>
    <t>Wazirx</t>
  </si>
  <si>
    <t>DUES/SUBSCRIPTION</t>
  </si>
  <si>
    <t>Internet connection</t>
  </si>
  <si>
    <t>Wifi</t>
  </si>
  <si>
    <t>Apple &amp; Google One Subscriptions</t>
  </si>
  <si>
    <t>PERSONAL</t>
  </si>
  <si>
    <t>Clothing</t>
  </si>
  <si>
    <t>Gifts</t>
  </si>
  <si>
    <t>Salon/barber</t>
  </si>
  <si>
    <t>Self Care (sunscreen, moisturizer)</t>
  </si>
  <si>
    <t>FINANCIAL OBLIGATIONS</t>
  </si>
  <si>
    <t>Column1</t>
  </si>
  <si>
    <t>Family Loan Sendings</t>
  </si>
  <si>
    <t>Income tax (additional)</t>
  </si>
  <si>
    <t>Other obligations (India ki family items)</t>
  </si>
  <si>
    <t>MISC PAYMENTS</t>
  </si>
  <si>
    <t xml:space="preserve">   Other</t>
  </si>
  <si>
    <t>Loan Payments</t>
  </si>
  <si>
    <t>Pending</t>
  </si>
  <si>
    <t>Home Loan</t>
  </si>
  <si>
    <t>Education Loan</t>
  </si>
  <si>
    <t>Gold Loan</t>
  </si>
  <si>
    <t>Personal Loan</t>
  </si>
  <si>
    <t>US Credit Cards</t>
  </si>
  <si>
    <t>TOTALS</t>
  </si>
  <si>
    <t>Total expenses</t>
  </si>
  <si>
    <t>Monthly Expenses</t>
  </si>
  <si>
    <t>Invested</t>
  </si>
  <si>
    <t>Debt</t>
  </si>
  <si>
    <t>BUDGET WHEEL</t>
  </si>
  <si>
    <t>Monthly 
income</t>
  </si>
  <si>
    <t>Savings 
amount</t>
  </si>
  <si>
    <t>Value calculated 
automatically</t>
  </si>
  <si>
    <t>Cash and Cash Equivalent</t>
  </si>
  <si>
    <t>Total Assets</t>
  </si>
  <si>
    <t>Properties</t>
  </si>
  <si>
    <t>Total Debts</t>
  </si>
  <si>
    <t>PERSONAL NET WORTH</t>
  </si>
  <si>
    <t>ASSETS VS DEBT</t>
  </si>
  <si>
    <t>Investments</t>
  </si>
  <si>
    <t>Retirement Savings</t>
  </si>
  <si>
    <t>Total assets</t>
  </si>
  <si>
    <t>Life Insurance</t>
  </si>
  <si>
    <t>Total debt</t>
  </si>
  <si>
    <t>SUMMARY OF ASSETS</t>
  </si>
  <si>
    <t>Cleared</t>
  </si>
  <si>
    <t>Second Masters</t>
  </si>
  <si>
    <t>Other home expenses (Amazon)</t>
  </si>
  <si>
    <t>Zerodha</t>
  </si>
  <si>
    <t>Coin by Zerodha MF</t>
  </si>
  <si>
    <t xml:space="preserve">Total Money sent </t>
  </si>
  <si>
    <t>Interest</t>
  </si>
  <si>
    <t>EMI</t>
  </si>
  <si>
    <t>Month</t>
  </si>
  <si>
    <t>Normal Spending</t>
  </si>
  <si>
    <t>Remittances</t>
  </si>
  <si>
    <t>Oct</t>
  </si>
  <si>
    <t>Jan</t>
  </si>
  <si>
    <t>Feb</t>
  </si>
  <si>
    <t>Mar</t>
  </si>
  <si>
    <t>Apr</t>
  </si>
  <si>
    <t>May</t>
  </si>
  <si>
    <t>Shifting to new places</t>
  </si>
  <si>
    <t>Count of JAN</t>
  </si>
  <si>
    <t>Column Labels</t>
  </si>
  <si>
    <t>Row Labels</t>
  </si>
  <si>
    <t>Grand Total</t>
  </si>
  <si>
    <t>Car Loan</t>
  </si>
  <si>
    <t>Bike Loan</t>
  </si>
  <si>
    <t>Total Income</t>
  </si>
  <si>
    <t>Walmart</t>
  </si>
  <si>
    <t xml:space="preserve">Groceries(Indian) </t>
  </si>
  <si>
    <t>Health Care(Checkups)</t>
  </si>
  <si>
    <t xml:space="preserve"> Wages Week (taxes, HSA money)</t>
  </si>
  <si>
    <t>Angel Investing</t>
  </si>
  <si>
    <t>Notes</t>
  </si>
  <si>
    <t>College Expenses(Car + Gas + cofee + flights)</t>
  </si>
  <si>
    <t>Other home expenses (Amazon, dollar tree, costco)</t>
  </si>
  <si>
    <t>Loans Given</t>
  </si>
  <si>
    <t>Total Invested</t>
  </si>
  <si>
    <t>% of Portfolio</t>
  </si>
  <si>
    <t>Indian Stocks</t>
  </si>
  <si>
    <t>US Stocks</t>
  </si>
  <si>
    <t>Crypto</t>
  </si>
  <si>
    <t>Others</t>
  </si>
  <si>
    <t xml:space="preserve">   Other(gambling, ups)</t>
  </si>
  <si>
    <t>Self Learning(Open API)</t>
  </si>
  <si>
    <t>Youtube</t>
  </si>
  <si>
    <t>My HDFC Personal Loan</t>
  </si>
  <si>
    <t>Cash In Bank</t>
  </si>
  <si>
    <t>Family expenses</t>
  </si>
  <si>
    <t xml:space="preserve"> Wages Week (Kooli Pani, PhoneBill reimbursment)</t>
  </si>
  <si>
    <t>My Pahadi Ducan, Babbai Tiffins, Whole Leaf Organics(for this whole leaf organics keerthana paid the full amount, I didn’t pay anything)</t>
  </si>
  <si>
    <t>Fun Activities(Board Games, Outdoor Activities)</t>
  </si>
  <si>
    <t>Amex(fee)</t>
  </si>
  <si>
    <t>85+10.60</t>
  </si>
  <si>
    <t>Actual cash spent</t>
  </si>
  <si>
    <t>chase bank</t>
  </si>
  <si>
    <t>Wells fargo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</si>
</sst>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;;;"/>
    <numFmt numFmtId="167" formatCode="&quot;$&quot;\ #,##0"/>
    <numFmt numFmtId="168" formatCode="_([$$-409]* #,##0.00_);_([$$-409]* \(#,##0.00\);_([$$-409]* &quot;-&quot;??_);_(@_)"/>
  </numFmts>
  <fonts count="64" x14ac:knownFonts="1">
    <font>
      <sz val="10"/>
      <color theme="1" tint="0.14993743705557422"/>
      <name val="verdana"/>
      <family val="2"/>
      <scheme val="minor"/>
    </font>
    <font>
      <b/>
      <sz val="10"/>
      <color theme="1" tint="0.14990691854609822"/>
      <name val="Gill Sans MT"/>
      <family val="2"/>
      <scheme val="major"/>
    </font>
    <font>
      <sz val="11"/>
      <color theme="1" tint="0.14993743705557422"/>
      <name val="Gill Sans MT"/>
      <family val="2"/>
      <scheme val="major"/>
    </font>
    <font>
      <sz val="22"/>
      <color theme="1" tint="0.14993743705557422"/>
      <name val="Gill Sans MT"/>
      <family val="2"/>
      <scheme val="major"/>
    </font>
    <font>
      <sz val="12"/>
      <color theme="1" tint="0.14993743705557422"/>
      <name val="verdana"/>
      <family val="2"/>
      <scheme val="minor"/>
    </font>
    <font>
      <sz val="14"/>
      <color theme="0"/>
      <name val="Gill Sans MT"/>
      <family val="2"/>
      <scheme val="major"/>
    </font>
    <font>
      <sz val="11"/>
      <color theme="0"/>
      <name val="verdana"/>
      <family val="2"/>
      <scheme val="minor"/>
    </font>
    <font>
      <sz val="11"/>
      <color theme="1" tint="0.14993743705557422"/>
      <name val="verdana"/>
      <family val="2"/>
      <scheme val="minor"/>
    </font>
    <font>
      <sz val="14"/>
      <color theme="1" tint="0.14993743705557422"/>
      <name val="Gill Sans MT"/>
      <family val="2"/>
      <scheme val="major"/>
    </font>
    <font>
      <sz val="18"/>
      <color theme="1" tint="0.14993743705557422"/>
      <name val="Gill Sans MT"/>
      <family val="2"/>
      <scheme val="major"/>
    </font>
    <font>
      <sz val="14"/>
      <name val="Gill Sans MT"/>
      <family val="2"/>
      <scheme val="major"/>
    </font>
    <font>
      <sz val="11"/>
      <color rgb="FF262626"/>
      <name val="Verdana"/>
      <family val="2"/>
    </font>
    <font>
      <sz val="14"/>
      <color rgb="FF000000"/>
      <name val="Gill Sans MT"/>
      <family val="2"/>
      <scheme val="major"/>
    </font>
    <font>
      <b/>
      <sz val="11"/>
      <color rgb="FF262626"/>
      <name val="verdana"/>
      <family val="2"/>
      <scheme val="minor"/>
    </font>
    <font>
      <b/>
      <sz val="10"/>
      <color rgb="FF262626"/>
      <name val="verdana"/>
      <family val="2"/>
      <scheme val="minor"/>
    </font>
    <font>
      <sz val="18"/>
      <color theme="3"/>
      <name val="Gill Sans MT"/>
      <family val="2"/>
      <scheme val="major"/>
    </font>
    <font>
      <i/>
      <sz val="11"/>
      <color rgb="FF7F7F7F"/>
      <name val="verdana"/>
      <family val="2"/>
      <scheme val="minor"/>
    </font>
    <font>
      <b/>
      <sz val="30"/>
      <color theme="4" tint="-0.249977111117893"/>
      <name val="Gill Sans MT"/>
      <family val="2"/>
      <scheme val="major"/>
    </font>
    <font>
      <b/>
      <sz val="14"/>
      <color theme="6"/>
      <name val="Gill Sans MT"/>
      <family val="2"/>
      <scheme val="major"/>
    </font>
    <font>
      <sz val="12"/>
      <color theme="0"/>
      <name val="verdana"/>
      <family val="2"/>
      <scheme val="minor"/>
    </font>
    <font>
      <sz val="18"/>
      <color theme="9" tint="-0.499984740745262"/>
      <name val="verdana"/>
      <family val="2"/>
      <scheme val="minor"/>
    </font>
    <font>
      <sz val="12"/>
      <color theme="9" tint="-0.499984740745262"/>
      <name val="verdana"/>
      <family val="2"/>
      <scheme val="minor"/>
    </font>
    <font>
      <sz val="18"/>
      <color rgb="FF404040"/>
      <name val="verdana"/>
      <family val="2"/>
      <scheme val="minor"/>
    </font>
    <font>
      <sz val="10"/>
      <color theme="1" tint="0.14999847407452621"/>
      <name val="verdana"/>
      <family val="2"/>
      <scheme val="minor"/>
    </font>
    <font>
      <sz val="9"/>
      <color rgb="FF404040"/>
      <name val="verdana"/>
      <family val="2"/>
      <scheme val="minor"/>
    </font>
    <font>
      <sz val="11"/>
      <color theme="1" tint="0.14999847407452621"/>
      <name val="verdana"/>
      <family val="2"/>
      <scheme val="minor"/>
    </font>
    <font>
      <sz val="11"/>
      <color theme="1" tint="0.249977111117893"/>
      <name val="verdana"/>
      <family val="2"/>
      <scheme val="minor"/>
    </font>
    <font>
      <sz val="48"/>
      <color theme="5" tint="-0.499984740745262"/>
      <name val="verdana"/>
      <family val="2"/>
      <scheme val="minor"/>
    </font>
    <font>
      <sz val="11"/>
      <name val="verdana"/>
      <family val="2"/>
      <scheme val="minor"/>
    </font>
    <font>
      <sz val="11"/>
      <color theme="0"/>
      <name val="verdana"/>
      <family val="2"/>
      <scheme val="minor"/>
    </font>
    <font>
      <sz val="20"/>
      <color theme="1" tint="0.14999847407452621"/>
      <name val="verdana"/>
      <family val="2"/>
      <scheme val="minor"/>
    </font>
    <font>
      <sz val="24"/>
      <color theme="0" tint="-0.499984740745262"/>
      <name val="verdana"/>
      <family val="2"/>
      <scheme val="minor"/>
    </font>
    <font>
      <sz val="20"/>
      <color theme="1" tint="0.14999847407452621"/>
      <name val="Gill Sans MT"/>
      <family val="2"/>
      <scheme val="major"/>
    </font>
    <font>
      <sz val="14"/>
      <color theme="1" tint="0.14999847407452621"/>
      <name val="verdana"/>
      <family val="2"/>
      <scheme val="minor"/>
    </font>
    <font>
      <sz val="20"/>
      <name val="verdana"/>
      <family val="2"/>
      <scheme val="minor"/>
    </font>
    <font>
      <sz val="24"/>
      <color theme="5" tint="-0.499984740745262"/>
      <name val="Gill Sans MT"/>
      <family val="2"/>
      <scheme val="major"/>
    </font>
    <font>
      <sz val="24"/>
      <color theme="5" tint="-0.499984740745262"/>
      <name val="verdana"/>
      <family val="2"/>
      <scheme val="minor"/>
    </font>
    <font>
      <sz val="20"/>
      <color theme="0"/>
      <name val="verdana"/>
      <family val="2"/>
      <scheme val="minor"/>
    </font>
    <font>
      <b/>
      <sz val="46"/>
      <color theme="4" tint="-0.249977111117893"/>
      <name val="verdana"/>
      <family val="2"/>
      <scheme val="minor"/>
    </font>
    <font>
      <sz val="46"/>
      <color theme="1" tint="0.14999847407452621"/>
      <name val="verdana"/>
      <family val="2"/>
      <scheme val="minor"/>
    </font>
    <font>
      <sz val="12"/>
      <color theme="1" tint="0.14999847407452621"/>
      <name val="verdana"/>
      <family val="2"/>
      <scheme val="minor"/>
    </font>
    <font>
      <sz val="14"/>
      <color theme="5" tint="-0.499984740745262"/>
      <name val="verdana"/>
      <family val="2"/>
      <scheme val="minor"/>
    </font>
    <font>
      <sz val="14"/>
      <name val="verdana"/>
      <family val="2"/>
      <scheme val="minor"/>
    </font>
    <font>
      <sz val="10"/>
      <color theme="0"/>
      <name val="verdana"/>
      <family val="2"/>
      <scheme val="minor"/>
    </font>
    <font>
      <sz val="24"/>
      <color theme="8" tint="-0.499984740745262"/>
      <name val="Gill Sans MT"/>
      <family val="2"/>
      <scheme val="major"/>
    </font>
    <font>
      <sz val="16"/>
      <color theme="8" tint="-0.249977111117893"/>
      <name val="verdana"/>
      <family val="2"/>
      <scheme val="minor"/>
    </font>
    <font>
      <sz val="12"/>
      <name val="verdana"/>
      <family val="2"/>
      <scheme val="minor"/>
    </font>
    <font>
      <sz val="12"/>
      <color theme="0"/>
      <name val="verdana"/>
      <family val="2"/>
      <scheme val="minor"/>
    </font>
    <font>
      <sz val="14"/>
      <color theme="9" tint="-0.499984740745262"/>
      <name val="Calibri"/>
      <family val="2"/>
    </font>
    <font>
      <sz val="16"/>
      <color theme="0" tint="-0.499984740745262"/>
      <name val="verdana"/>
      <family val="2"/>
      <scheme val="minor"/>
    </font>
    <font>
      <sz val="14"/>
      <color theme="8" tint="-0.499984740745262"/>
      <name val="verdana"/>
      <family val="2"/>
      <scheme val="minor"/>
    </font>
    <font>
      <sz val="16"/>
      <color theme="1" tint="0.14999847407452621"/>
      <name val="verdana"/>
      <family val="2"/>
      <scheme val="minor"/>
    </font>
    <font>
      <sz val="16"/>
      <name val="verdana"/>
      <family val="2"/>
      <scheme val="minor"/>
    </font>
    <font>
      <sz val="16"/>
      <color theme="0"/>
      <name val="verdana"/>
      <family val="2"/>
      <scheme val="minor"/>
    </font>
    <font>
      <sz val="14"/>
      <color theme="5" tint="0.39997558519241921"/>
      <name val="Gill Sans MT"/>
      <family val="2"/>
      <scheme val="major"/>
    </font>
    <font>
      <b/>
      <sz val="11"/>
      <color theme="1" tint="0.14993743705557422"/>
      <name val="verdana"/>
      <family val="2"/>
      <scheme val="minor"/>
    </font>
    <font>
      <b/>
      <sz val="10"/>
      <color theme="1" tint="0.14993743705557422"/>
      <name val="verdana"/>
      <family val="2"/>
      <scheme val="minor"/>
    </font>
    <font>
      <sz val="8"/>
      <name val="verdana"/>
      <family val="2"/>
      <scheme val="minor"/>
    </font>
    <font>
      <sz val="10"/>
      <color theme="1" tint="0.14993743705557422"/>
      <name val="verdana"/>
      <family val="2"/>
      <scheme val="minor"/>
    </font>
    <font>
      <sz val="36"/>
      <color theme="1" tint="0.14993743705557422"/>
      <name val="verdana"/>
      <family val="2"/>
      <scheme val="minor"/>
    </font>
    <font>
      <sz val="36"/>
      <color rgb="FFFF0000"/>
      <name val="verdana"/>
      <family val="2"/>
      <scheme val="minor"/>
    </font>
    <font>
      <b/>
      <sz val="36"/>
      <color rgb="FFFF0000"/>
      <name val="verdana"/>
      <family val="2"/>
      <scheme val="minor"/>
    </font>
    <font>
      <b/>
      <sz val="36"/>
      <color theme="3"/>
      <name val="verdana"/>
      <family val="2"/>
      <scheme val="minor"/>
    </font>
    <font>
      <sz val="11"/>
      <color rgb="FF262626"/>
      <name val="verdana"/>
      <family val="2"/>
      <scheme val="minor"/>
    </font>
  </fonts>
  <fills count="2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5" tint="0.80001220740379042"/>
        </stop>
      </gradientFill>
    </fill>
    <fill>
      <patternFill patternType="solid">
        <fgColor theme="4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0EFEF"/>
        <bgColor rgb="FF000000"/>
      </patternFill>
    </fill>
    <fill>
      <patternFill patternType="solid">
        <fgColor theme="5" tint="0.39994506668294322"/>
        <bgColor rgb="FFF7F7F7"/>
      </patternFill>
    </fill>
    <fill>
      <patternFill patternType="solid">
        <fgColor theme="5" tint="0.79998168889431442"/>
        <bgColor rgb="FFF7F7F7"/>
      </patternFill>
    </fill>
    <fill>
      <patternFill patternType="solid">
        <fgColor rgb="FFEFF8F8"/>
        <bgColor rgb="FFF7F7F7"/>
      </patternFill>
    </fill>
    <fill>
      <patternFill patternType="solid">
        <fgColor rgb="FFF7F7F7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 style="thick">
        <color theme="4" tint="-0.24994659260841701"/>
      </top>
      <bottom/>
      <diagonal/>
    </border>
    <border>
      <left style="thin">
        <color theme="5" tint="0.39994506668294322"/>
      </left>
      <right style="thin">
        <color theme="5" tint="0.39994506668294322"/>
      </right>
      <top/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/>
      <top/>
      <bottom style="thin">
        <color theme="5" tint="0.39994506668294322"/>
      </bottom>
      <diagonal/>
    </border>
    <border>
      <left style="thin">
        <color rgb="FFD0E8E7"/>
      </left>
      <right style="thin">
        <color rgb="FFD0E8E7"/>
      </right>
      <top style="thin">
        <color rgb="FFD0E8E7"/>
      </top>
      <bottom style="thin">
        <color rgb="FFD0E8E7"/>
      </bottom>
      <diagonal/>
    </border>
    <border>
      <left/>
      <right style="thin">
        <color rgb="FFD0E8E7"/>
      </right>
      <top style="thin">
        <color rgb="FFD0E8E7"/>
      </top>
      <bottom style="thin">
        <color rgb="FFD0E8E7"/>
      </bottom>
      <diagonal/>
    </border>
    <border>
      <left/>
      <right/>
      <top style="thin">
        <color rgb="FFD0E8E7"/>
      </top>
      <bottom style="thin">
        <color rgb="FFD0E8E7"/>
      </bottom>
      <diagonal/>
    </border>
  </borders>
  <cellStyleXfs count="9">
    <xf numFmtId="0" fontId="0" fillId="6" borderId="0">
      <alignment vertical="center"/>
    </xf>
    <xf numFmtId="0" fontId="3" fillId="0" borderId="0" applyNumberFormat="0" applyFill="0" applyProtection="0">
      <alignment vertical="center"/>
    </xf>
    <xf numFmtId="0" fontId="2" fillId="0" borderId="1" applyNumberFormat="0" applyFill="0" applyProtection="0">
      <alignment vertical="center"/>
    </xf>
    <xf numFmtId="0" fontId="1" fillId="4" borderId="0" applyNumberFormat="0" applyProtection="0">
      <alignment horizontal="left" vertical="center" indent="1"/>
    </xf>
    <xf numFmtId="0" fontId="1" fillId="2" borderId="0" applyNumberFormat="0" applyProtection="0">
      <alignment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44" fontId="58" fillId="0" borderId="0" applyFont="0" applyFill="0" applyBorder="0" applyAlignment="0" applyProtection="0"/>
    <xf numFmtId="9" fontId="58" fillId="0" borderId="0" applyFont="0" applyFill="0" applyBorder="0" applyAlignment="0" applyProtection="0"/>
  </cellStyleXfs>
  <cellXfs count="161">
    <xf numFmtId="0" fontId="0" fillId="6" borderId="0" xfId="0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right" vertical="center" indent="1"/>
    </xf>
    <xf numFmtId="0" fontId="7" fillId="5" borderId="0" xfId="0" applyFont="1" applyFill="1">
      <alignment vertical="center"/>
    </xf>
    <xf numFmtId="0" fontId="7" fillId="5" borderId="0" xfId="0" applyFont="1" applyFill="1" applyAlignment="1">
      <alignment horizontal="right" vertical="center" indent="1"/>
    </xf>
    <xf numFmtId="0" fontId="7" fillId="0" borderId="0" xfId="0" applyFont="1" applyFill="1">
      <alignment vertical="center"/>
    </xf>
    <xf numFmtId="0" fontId="6" fillId="7" borderId="0" xfId="0" applyFont="1" applyFill="1" applyAlignment="1">
      <alignment horizontal="left" vertical="center" indent="1"/>
    </xf>
    <xf numFmtId="164" fontId="6" fillId="3" borderId="0" xfId="0" applyNumberFormat="1" applyFont="1" applyFill="1" applyAlignment="1">
      <alignment horizontal="right" vertical="center" indent="1"/>
    </xf>
    <xf numFmtId="164" fontId="6" fillId="7" borderId="0" xfId="0" applyNumberFormat="1" applyFont="1" applyFill="1" applyAlignment="1">
      <alignment horizontal="right" vertical="center" indent="1"/>
    </xf>
    <xf numFmtId="164" fontId="6" fillId="7" borderId="0" xfId="0" applyNumberFormat="1" applyFont="1" applyFill="1" applyAlignment="1">
      <alignment horizontal="right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right" vertical="center"/>
    </xf>
    <xf numFmtId="0" fontId="7" fillId="6" borderId="0" xfId="0" applyFont="1" applyAlignment="1">
      <alignment horizontal="left" vertical="center" indent="1"/>
    </xf>
    <xf numFmtId="164" fontId="7" fillId="6" borderId="0" xfId="0" applyNumberFormat="1" applyFont="1" applyAlignment="1">
      <alignment horizontal="right" vertical="center" indent="1"/>
    </xf>
    <xf numFmtId="0" fontId="7" fillId="6" borderId="0" xfId="0" applyFont="1" applyAlignment="1">
      <alignment horizontal="left" vertical="center"/>
    </xf>
    <xf numFmtId="0" fontId="8" fillId="5" borderId="0" xfId="0" applyFont="1" applyFill="1">
      <alignment vertical="center"/>
    </xf>
    <xf numFmtId="0" fontId="10" fillId="6" borderId="0" xfId="0" applyFont="1" applyAlignment="1">
      <alignment horizontal="left" vertical="center" indent="1"/>
    </xf>
    <xf numFmtId="0" fontId="10" fillId="5" borderId="0" xfId="0" applyFont="1" applyFill="1">
      <alignment vertical="center"/>
    </xf>
    <xf numFmtId="0" fontId="0" fillId="0" borderId="0" xfId="0" applyFill="1">
      <alignment vertical="center"/>
    </xf>
    <xf numFmtId="0" fontId="10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5" fillId="7" borderId="0" xfId="3" applyFont="1" applyFill="1">
      <alignment horizontal="left" vertical="center" indent="1"/>
    </xf>
    <xf numFmtId="0" fontId="5" fillId="3" borderId="0" xfId="3" applyFont="1" applyFill="1" applyAlignment="1">
      <alignment horizontal="right" vertical="center" indent="1"/>
    </xf>
    <xf numFmtId="0" fontId="5" fillId="7" borderId="0" xfId="3" applyFont="1" applyFill="1" applyAlignment="1">
      <alignment horizontal="right" vertical="center" indent="1"/>
    </xf>
    <xf numFmtId="0" fontId="5" fillId="3" borderId="0" xfId="2" applyFont="1" applyFill="1" applyBorder="1" applyAlignment="1">
      <alignment horizontal="left" vertical="center" indent="1"/>
    </xf>
    <xf numFmtId="0" fontId="5" fillId="3" borderId="0" xfId="2" applyFont="1" applyFill="1" applyBorder="1" applyAlignment="1">
      <alignment horizontal="right" vertical="center" indent="1"/>
    </xf>
    <xf numFmtId="0" fontId="5" fillId="3" borderId="0" xfId="2" applyFont="1" applyFill="1" applyBorder="1" applyAlignment="1">
      <alignment horizontal="right" vertical="center"/>
    </xf>
    <xf numFmtId="0" fontId="9" fillId="5" borderId="0" xfId="0" applyFont="1" applyFill="1">
      <alignment vertical="center"/>
    </xf>
    <xf numFmtId="0" fontId="9" fillId="0" borderId="0" xfId="0" applyFont="1" applyFill="1">
      <alignment vertical="center"/>
    </xf>
    <xf numFmtId="0" fontId="10" fillId="6" borderId="0" xfId="0" applyFont="1" applyAlignment="1">
      <alignment horizontal="right" vertical="center" indent="1"/>
    </xf>
    <xf numFmtId="0" fontId="11" fillId="6" borderId="0" xfId="0" applyFont="1">
      <alignment vertical="center"/>
    </xf>
    <xf numFmtId="0" fontId="7" fillId="6" borderId="0" xfId="0" applyFont="1" applyAlignment="1">
      <alignment horizontal="right" vertical="center" indent="1"/>
    </xf>
    <xf numFmtId="0" fontId="12" fillId="6" borderId="0" xfId="0" applyFont="1" applyAlignment="1">
      <alignment horizontal="right" vertical="center" indent="1"/>
    </xf>
    <xf numFmtId="0" fontId="13" fillId="5" borderId="0" xfId="0" applyFont="1" applyFill="1">
      <alignment vertical="center"/>
    </xf>
    <xf numFmtId="0" fontId="13" fillId="5" borderId="0" xfId="0" applyFont="1" applyFill="1" applyAlignment="1">
      <alignment horizontal="right" vertical="center" indent="1"/>
    </xf>
    <xf numFmtId="0" fontId="14" fillId="5" borderId="0" xfId="0" applyFont="1" applyFill="1" applyAlignment="1">
      <alignment horizontal="right" vertical="center"/>
    </xf>
    <xf numFmtId="15" fontId="7" fillId="5" borderId="0" xfId="0" applyNumberFormat="1" applyFont="1" applyFill="1">
      <alignment vertical="center"/>
    </xf>
    <xf numFmtId="15" fontId="11" fillId="6" borderId="0" xfId="0" applyNumberFormat="1" applyFont="1">
      <alignment vertical="center"/>
    </xf>
    <xf numFmtId="0" fontId="14" fillId="5" borderId="0" xfId="0" applyFont="1" applyFill="1">
      <alignment vertical="center"/>
    </xf>
    <xf numFmtId="164" fontId="0" fillId="6" borderId="0" xfId="0" applyNumberFormat="1">
      <alignment vertical="center"/>
    </xf>
    <xf numFmtId="164" fontId="0" fillId="5" borderId="0" xfId="0" applyNumberFormat="1" applyFill="1" applyAlignment="1">
      <alignment horizontal="right" vertical="center"/>
    </xf>
    <xf numFmtId="0" fontId="0" fillId="6" borderId="0" xfId="0" applyAlignment="1">
      <alignment vertical="center" wrapText="1"/>
    </xf>
    <xf numFmtId="0" fontId="18" fillId="0" borderId="0" xfId="1" applyFont="1" applyAlignment="1">
      <alignment horizontal="left" wrapText="1" indent="1"/>
    </xf>
    <xf numFmtId="0" fontId="19" fillId="6" borderId="0" xfId="0" applyFont="1" applyAlignment="1">
      <alignment horizontal="left" indent="1"/>
    </xf>
    <xf numFmtId="0" fontId="19" fillId="6" borderId="0" xfId="0" applyFont="1" applyAlignment="1">
      <alignment horizontal="center"/>
    </xf>
    <xf numFmtId="0" fontId="0" fillId="6" borderId="0" xfId="0" applyAlignment="1"/>
    <xf numFmtId="0" fontId="18" fillId="0" borderId="0" xfId="1" applyFont="1" applyAlignment="1">
      <alignment horizontal="right" wrapText="1"/>
    </xf>
    <xf numFmtId="165" fontId="20" fillId="6" borderId="0" xfId="0" applyNumberFormat="1" applyFont="1" applyAlignment="1">
      <alignment horizontal="left" indent="1"/>
    </xf>
    <xf numFmtId="0" fontId="21" fillId="6" borderId="0" xfId="0" applyFont="1" applyAlignment="1">
      <alignment horizontal="left" indent="1"/>
    </xf>
    <xf numFmtId="0" fontId="21" fillId="6" borderId="0" xfId="0" applyFont="1" applyAlignment="1">
      <alignment horizontal="center"/>
    </xf>
    <xf numFmtId="0" fontId="21" fillId="6" borderId="0" xfId="0" applyFont="1" applyAlignment="1"/>
    <xf numFmtId="165" fontId="20" fillId="6" borderId="0" xfId="0" applyNumberFormat="1" applyFont="1" applyAlignment="1">
      <alignment horizontal="right"/>
    </xf>
    <xf numFmtId="165" fontId="22" fillId="6" borderId="0" xfId="0" applyNumberFormat="1" applyFont="1" applyAlignment="1">
      <alignment horizontal="left" indent="3"/>
    </xf>
    <xf numFmtId="165" fontId="22" fillId="6" borderId="0" xfId="0" applyNumberFormat="1" applyFont="1" applyAlignment="1">
      <alignment horizontal="center"/>
    </xf>
    <xf numFmtId="0" fontId="23" fillId="6" borderId="0" xfId="0" applyFont="1" applyAlignment="1">
      <alignment horizontal="right" vertical="center" wrapText="1"/>
    </xf>
    <xf numFmtId="0" fontId="24" fillId="6" borderId="0" xfId="0" applyFont="1" applyAlignment="1">
      <alignment horizontal="center" vertical="center" wrapText="1"/>
    </xf>
    <xf numFmtId="0" fontId="25" fillId="6" borderId="0" xfId="0" applyFont="1" applyAlignment="1">
      <alignment horizontal="center" vertical="center"/>
    </xf>
    <xf numFmtId="0" fontId="26" fillId="8" borderId="0" xfId="0" applyFont="1" applyFill="1" applyAlignment="1">
      <alignment horizontal="left" vertical="center" indent="1"/>
    </xf>
    <xf numFmtId="0" fontId="25" fillId="8" borderId="0" xfId="0" applyFont="1" applyFill="1" applyAlignment="1">
      <alignment horizontal="center" vertical="center"/>
    </xf>
    <xf numFmtId="0" fontId="28" fillId="6" borderId="0" xfId="0" applyFont="1" applyAlignment="1">
      <alignment horizontal="center" vertical="center"/>
    </xf>
    <xf numFmtId="166" fontId="0" fillId="6" borderId="0" xfId="0" applyNumberFormat="1" applyAlignment="1">
      <alignment horizontal="left" vertical="center"/>
    </xf>
    <xf numFmtId="0" fontId="29" fillId="6" borderId="0" xfId="0" applyFont="1" applyAlignment="1">
      <alignment horizontal="left" vertical="center"/>
    </xf>
    <xf numFmtId="166" fontId="0" fillId="6" borderId="0" xfId="0" applyNumberFormat="1" applyAlignment="1">
      <alignment horizontal="left" vertical="center" indent="1"/>
    </xf>
    <xf numFmtId="0" fontId="30" fillId="8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left"/>
    </xf>
    <xf numFmtId="0" fontId="32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34" fillId="6" borderId="0" xfId="0" applyFont="1" applyAlignment="1">
      <alignment horizontal="center" vertical="center"/>
    </xf>
    <xf numFmtId="0" fontId="30" fillId="6" borderId="0" xfId="0" applyFont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0" fontId="35" fillId="9" borderId="0" xfId="0" applyFont="1" applyFill="1" applyAlignment="1"/>
    <xf numFmtId="0" fontId="36" fillId="9" borderId="0" xfId="0" applyFont="1" applyFill="1" applyAlignment="1"/>
    <xf numFmtId="0" fontId="30" fillId="9" borderId="0" xfId="0" applyFont="1" applyFill="1">
      <alignment vertical="center"/>
    </xf>
    <xf numFmtId="0" fontId="37" fillId="6" borderId="0" xfId="0" applyFont="1" applyAlignment="1">
      <alignment horizontal="left" vertical="center"/>
    </xf>
    <xf numFmtId="0" fontId="25" fillId="9" borderId="0" xfId="0" applyFont="1" applyFill="1" applyAlignment="1">
      <alignment horizontal="center" vertical="center"/>
    </xf>
    <xf numFmtId="165" fontId="39" fillId="9" borderId="0" xfId="0" applyNumberFormat="1" applyFont="1" applyFill="1" applyAlignment="1">
      <alignment vertical="top"/>
    </xf>
    <xf numFmtId="0" fontId="33" fillId="6" borderId="0" xfId="0" applyFont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40" fillId="10" borderId="0" xfId="0" applyFont="1" applyFill="1" applyAlignment="1">
      <alignment horizontal="left" vertical="center" indent="1"/>
    </xf>
    <xf numFmtId="0" fontId="41" fillId="9" borderId="0" xfId="0" applyFont="1" applyFill="1" applyAlignment="1">
      <alignment horizontal="left" vertical="center" indent="1"/>
    </xf>
    <xf numFmtId="167" fontId="41" fillId="9" borderId="0" xfId="0" applyNumberFormat="1" applyFont="1" applyFill="1" applyAlignment="1">
      <alignment horizontal="right" vertical="center"/>
    </xf>
    <xf numFmtId="0" fontId="42" fillId="6" borderId="0" xfId="0" applyFont="1" applyAlignment="1">
      <alignment horizontal="center" vertical="center"/>
    </xf>
    <xf numFmtId="0" fontId="40" fillId="9" borderId="0" xfId="0" applyFont="1" applyFill="1" applyAlignment="1">
      <alignment horizontal="left" vertical="center" indent="1"/>
    </xf>
    <xf numFmtId="0" fontId="41" fillId="9" borderId="0" xfId="0" applyFont="1" applyFill="1" applyAlignment="1">
      <alignment horizontal="right" vertical="center" indent="1"/>
    </xf>
    <xf numFmtId="0" fontId="40" fillId="8" borderId="0" xfId="0" applyFont="1" applyFill="1" applyAlignment="1">
      <alignment horizontal="left" vertical="center" indent="1"/>
    </xf>
    <xf numFmtId="0" fontId="33" fillId="11" borderId="0" xfId="0" applyFont="1" applyFill="1" applyAlignment="1">
      <alignment horizontal="right" vertical="center"/>
    </xf>
    <xf numFmtId="0" fontId="33" fillId="8" borderId="0" xfId="0" applyFont="1" applyFill="1" applyAlignment="1">
      <alignment horizontal="right" vertical="center"/>
    </xf>
    <xf numFmtId="0" fontId="43" fillId="6" borderId="0" xfId="0" applyFont="1" applyAlignment="1">
      <alignment horizontal="left" vertical="center"/>
    </xf>
    <xf numFmtId="0" fontId="40" fillId="6" borderId="0" xfId="0" applyFont="1" applyAlignment="1">
      <alignment horizontal="center" vertical="center"/>
    </xf>
    <xf numFmtId="0" fontId="40" fillId="12" borderId="2" xfId="0" applyFont="1" applyFill="1" applyBorder="1" applyAlignment="1">
      <alignment horizontal="center" vertical="center"/>
    </xf>
    <xf numFmtId="0" fontId="45" fillId="12" borderId="2" xfId="0" applyFont="1" applyFill="1" applyBorder="1" applyAlignment="1">
      <alignment horizontal="left" vertical="center"/>
    </xf>
    <xf numFmtId="165" fontId="40" fillId="12" borderId="2" xfId="0" applyNumberFormat="1" applyFont="1" applyFill="1" applyBorder="1" applyAlignment="1">
      <alignment horizontal="left" vertical="center"/>
    </xf>
    <xf numFmtId="0" fontId="45" fillId="8" borderId="0" xfId="0" applyFont="1" applyFill="1" applyAlignment="1">
      <alignment horizontal="left" vertical="center"/>
    </xf>
    <xf numFmtId="0" fontId="46" fillId="6" borderId="0" xfId="0" applyFont="1" applyAlignment="1">
      <alignment horizontal="center" vertical="center"/>
    </xf>
    <xf numFmtId="0" fontId="47" fillId="6" borderId="0" xfId="0" applyFont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0" fontId="48" fillId="12" borderId="0" xfId="0" applyFont="1" applyFill="1" applyAlignment="1">
      <alignment horizontal="left" vertical="center" indent="1"/>
    </xf>
    <xf numFmtId="167" fontId="48" fillId="12" borderId="0" xfId="0" applyNumberFormat="1" applyFont="1" applyFill="1" applyAlignment="1">
      <alignment horizontal="right" vertical="center"/>
    </xf>
    <xf numFmtId="165" fontId="40" fillId="12" borderId="0" xfId="0" applyNumberFormat="1" applyFont="1" applyFill="1" applyAlignment="1">
      <alignment horizontal="left" vertical="center"/>
    </xf>
    <xf numFmtId="0" fontId="40" fillId="8" borderId="0" xfId="0" applyFont="1" applyFill="1" applyAlignment="1">
      <alignment horizontal="center" vertical="center"/>
    </xf>
    <xf numFmtId="0" fontId="49" fillId="12" borderId="0" xfId="0" applyFont="1" applyFill="1" applyAlignment="1">
      <alignment horizontal="left" vertical="center"/>
    </xf>
    <xf numFmtId="0" fontId="49" fillId="13" borderId="0" xfId="0" applyFont="1" applyFill="1" applyAlignment="1">
      <alignment horizontal="left" vertical="center"/>
    </xf>
    <xf numFmtId="0" fontId="50" fillId="12" borderId="0" xfId="0" applyFont="1" applyFill="1" applyAlignment="1">
      <alignment horizontal="left" vertical="center" indent="1"/>
    </xf>
    <xf numFmtId="167" fontId="50" fillId="12" borderId="0" xfId="0" applyNumberFormat="1" applyFont="1" applyFill="1" applyAlignment="1">
      <alignment horizontal="right" vertical="center"/>
    </xf>
    <xf numFmtId="0" fontId="49" fillId="8" borderId="0" xfId="0" applyFont="1" applyFill="1" applyAlignment="1">
      <alignment horizontal="left" vertical="center"/>
    </xf>
    <xf numFmtId="0" fontId="40" fillId="14" borderId="0" xfId="0" applyFont="1" applyFill="1" applyAlignment="1">
      <alignment horizontal="center" vertical="center"/>
    </xf>
    <xf numFmtId="0" fontId="40" fillId="12" borderId="0" xfId="0" applyFont="1" applyFill="1" applyAlignment="1">
      <alignment horizontal="left" vertical="center" indent="1"/>
    </xf>
    <xf numFmtId="0" fontId="40" fillId="15" borderId="0" xfId="0" applyFont="1" applyFill="1" applyAlignment="1">
      <alignment horizontal="left" vertical="center" indent="1"/>
    </xf>
    <xf numFmtId="0" fontId="40" fillId="16" borderId="0" xfId="0" applyFont="1" applyFill="1" applyAlignment="1">
      <alignment horizontal="left" vertical="center" indent="1"/>
    </xf>
    <xf numFmtId="0" fontId="25" fillId="12" borderId="0" xfId="0" applyFont="1" applyFill="1" applyAlignment="1">
      <alignment horizontal="center" vertical="center"/>
    </xf>
    <xf numFmtId="0" fontId="40" fillId="17" borderId="0" xfId="0" applyFont="1" applyFill="1" applyAlignment="1">
      <alignment horizontal="left" vertical="center" indent="1"/>
    </xf>
    <xf numFmtId="0" fontId="51" fillId="6" borderId="0" xfId="0" applyFont="1" applyAlignment="1">
      <alignment horizontal="center" vertical="center"/>
    </xf>
    <xf numFmtId="0" fontId="52" fillId="6" borderId="0" xfId="0" applyFont="1" applyAlignment="1">
      <alignment horizontal="center" vertical="center"/>
    </xf>
    <xf numFmtId="0" fontId="53" fillId="6" borderId="0" xfId="0" applyFont="1" applyAlignment="1">
      <alignment horizontal="left" vertical="center"/>
    </xf>
    <xf numFmtId="0" fontId="51" fillId="8" borderId="0" xfId="0" applyFont="1" applyFill="1" applyAlignment="1">
      <alignment horizontal="center" vertical="center"/>
    </xf>
    <xf numFmtId="0" fontId="54" fillId="6" borderId="0" xfId="0" applyFont="1" applyAlignment="1">
      <alignment horizontal="right" vertical="center" indent="1"/>
    </xf>
    <xf numFmtId="0" fontId="7" fillId="0" borderId="0" xfId="0" applyFont="1" applyFill="1" applyAlignment="1">
      <alignment vertical="center" wrapText="1"/>
    </xf>
    <xf numFmtId="0" fontId="55" fillId="5" borderId="0" xfId="0" applyFont="1" applyFill="1" applyAlignment="1">
      <alignment horizontal="right" vertical="center" indent="1"/>
    </xf>
    <xf numFmtId="14" fontId="7" fillId="5" borderId="0" xfId="0" applyNumberFormat="1" applyFont="1" applyFill="1">
      <alignment vertical="center"/>
    </xf>
    <xf numFmtId="10" fontId="7" fillId="5" borderId="0" xfId="0" applyNumberFormat="1" applyFont="1" applyFill="1" applyAlignment="1">
      <alignment horizontal="right" vertical="center" indent="1"/>
    </xf>
    <xf numFmtId="3" fontId="7" fillId="5" borderId="0" xfId="0" applyNumberFormat="1" applyFont="1" applyFill="1" applyAlignment="1">
      <alignment horizontal="right" vertical="center" indent="1"/>
    </xf>
    <xf numFmtId="0" fontId="56" fillId="6" borderId="0" xfId="0" applyFont="1">
      <alignment vertical="center"/>
    </xf>
    <xf numFmtId="164" fontId="56" fillId="6" borderId="0" xfId="0" applyNumberFormat="1" applyFont="1">
      <alignment vertical="center"/>
    </xf>
    <xf numFmtId="0" fontId="0" fillId="6" borderId="0" xfId="0" pivotButton="1">
      <alignment vertical="center"/>
    </xf>
    <xf numFmtId="0" fontId="0" fillId="6" borderId="0" xfId="0" applyAlignment="1">
      <alignment horizontal="left" vertical="center"/>
    </xf>
    <xf numFmtId="164" fontId="7" fillId="0" borderId="0" xfId="0" applyNumberFormat="1" applyFont="1" applyFill="1">
      <alignment vertical="center"/>
    </xf>
    <xf numFmtId="164" fontId="59" fillId="5" borderId="0" xfId="0" applyNumberFormat="1" applyFont="1" applyFill="1">
      <alignment vertical="center"/>
    </xf>
    <xf numFmtId="164" fontId="62" fillId="5" borderId="0" xfId="0" applyNumberFormat="1" applyFont="1" applyFill="1">
      <alignment vertical="center"/>
    </xf>
    <xf numFmtId="168" fontId="60" fillId="5" borderId="0" xfId="0" applyNumberFormat="1" applyFont="1" applyFill="1" applyAlignment="1">
      <alignment horizontal="right" vertical="center"/>
    </xf>
    <xf numFmtId="44" fontId="0" fillId="5" borderId="0" xfId="7" applyFont="1" applyFill="1" applyAlignment="1">
      <alignment horizontal="right" vertical="center"/>
    </xf>
    <xf numFmtId="44" fontId="7" fillId="5" borderId="0" xfId="7" applyFont="1" applyFill="1" applyAlignment="1">
      <alignment horizontal="right" vertical="center" indent="1"/>
    </xf>
    <xf numFmtId="0" fontId="6" fillId="7" borderId="0" xfId="3" applyFont="1" applyFill="1" applyAlignment="1">
      <alignment horizontal="left" vertical="center" indent="2"/>
    </xf>
    <xf numFmtId="164" fontId="6" fillId="3" borderId="0" xfId="3" applyNumberFormat="1" applyFont="1" applyFill="1" applyAlignment="1">
      <alignment horizontal="right" vertical="center" indent="1"/>
    </xf>
    <xf numFmtId="164" fontId="6" fillId="7" borderId="0" xfId="3" applyNumberFormat="1" applyFont="1" applyFill="1" applyAlignment="1">
      <alignment horizontal="right" vertical="center"/>
    </xf>
    <xf numFmtId="44" fontId="7" fillId="6" borderId="0" xfId="7" applyFont="1" applyFill="1" applyAlignment="1">
      <alignment horizontal="right" vertical="center" indent="1"/>
    </xf>
    <xf numFmtId="44" fontId="7" fillId="0" borderId="0" xfId="7" applyFont="1" applyFill="1" applyAlignment="1">
      <alignment vertical="center"/>
    </xf>
    <xf numFmtId="9" fontId="0" fillId="6" borderId="0" xfId="8" applyFont="1" applyFill="1" applyAlignment="1">
      <alignment vertical="center"/>
    </xf>
    <xf numFmtId="9" fontId="56" fillId="6" borderId="0" xfId="0" applyNumberFormat="1" applyFont="1">
      <alignment vertical="center"/>
    </xf>
    <xf numFmtId="164" fontId="7" fillId="6" borderId="0" xfId="7" applyNumberFormat="1" applyFont="1" applyFill="1" applyAlignment="1">
      <alignment horizontal="right" vertical="center" indent="1"/>
    </xf>
    <xf numFmtId="0" fontId="17" fillId="0" borderId="0" xfId="5" applyFont="1" applyBorder="1" applyAlignment="1">
      <alignment horizontal="left" indent="1"/>
    </xf>
    <xf numFmtId="0" fontId="16" fillId="0" borderId="0" xfId="6" applyBorder="1" applyAlignment="1">
      <alignment horizontal="left" vertical="center" wrapText="1" indent="2"/>
    </xf>
    <xf numFmtId="0" fontId="16" fillId="0" borderId="0" xfId="6" applyAlignment="1">
      <alignment horizontal="left" vertical="center" wrapText="1" indent="2"/>
    </xf>
    <xf numFmtId="0" fontId="27" fillId="8" borderId="0" xfId="0" applyFont="1" applyFill="1" applyAlignment="1">
      <alignment horizontal="left" vertical="center"/>
    </xf>
    <xf numFmtId="0" fontId="35" fillId="9" borderId="0" xfId="0" applyFont="1" applyFill="1" applyAlignment="1">
      <alignment horizontal="left"/>
    </xf>
    <xf numFmtId="165" fontId="38" fillId="9" borderId="0" xfId="0" applyNumberFormat="1" applyFont="1" applyFill="1" applyAlignment="1">
      <alignment horizontal="left" vertical="top"/>
    </xf>
    <xf numFmtId="0" fontId="44" fillId="12" borderId="2" xfId="0" applyFont="1" applyFill="1" applyBorder="1" applyAlignment="1">
      <alignment horizontal="left"/>
    </xf>
    <xf numFmtId="0" fontId="10" fillId="6" borderId="0" xfId="0" applyFont="1" applyFill="1" applyAlignment="1">
      <alignment horizontal="right" vertical="center" indent="1"/>
    </xf>
    <xf numFmtId="0" fontId="10" fillId="19" borderId="3" xfId="0" applyFont="1" applyFill="1" applyBorder="1" applyAlignment="1">
      <alignment horizontal="right" vertical="center" indent="1"/>
    </xf>
    <xf numFmtId="0" fontId="12" fillId="19" borderId="5" xfId="0" applyFont="1" applyFill="1" applyBorder="1" applyAlignment="1">
      <alignment horizontal="right" vertical="center" indent="1"/>
    </xf>
    <xf numFmtId="164" fontId="7" fillId="20" borderId="4" xfId="0" applyNumberFormat="1" applyFont="1" applyFill="1" applyBorder="1" applyAlignment="1">
      <alignment horizontal="right" vertical="center" indent="1"/>
    </xf>
    <xf numFmtId="164" fontId="7" fillId="6" borderId="4" xfId="0" applyNumberFormat="1" applyFont="1" applyBorder="1" applyAlignment="1">
      <alignment horizontal="right" vertical="center" indent="1"/>
    </xf>
    <xf numFmtId="164" fontId="63" fillId="21" borderId="6" xfId="0" applyNumberFormat="1" applyFont="1" applyFill="1" applyBorder="1" applyAlignment="1">
      <alignment horizontal="right" vertical="center" indent="1"/>
    </xf>
    <xf numFmtId="164" fontId="63" fillId="22" borderId="7" xfId="0" applyNumberFormat="1" applyFont="1" applyFill="1" applyBorder="1" applyAlignment="1">
      <alignment horizontal="right" vertical="center" indent="1"/>
    </xf>
    <xf numFmtId="164" fontId="63" fillId="21" borderId="7" xfId="0" applyNumberFormat="1" applyFont="1" applyFill="1" applyBorder="1" applyAlignment="1">
      <alignment horizontal="right" vertical="center" indent="1"/>
    </xf>
    <xf numFmtId="15" fontId="63" fillId="18" borderId="8" xfId="0" applyNumberFormat="1" applyFont="1" applyFill="1" applyBorder="1">
      <alignment vertical="center"/>
    </xf>
    <xf numFmtId="164" fontId="61" fillId="5" borderId="0" xfId="0" applyNumberFormat="1" applyFont="1" applyFill="1" applyAlignment="1">
      <alignment horizontal="right" vertical="center"/>
    </xf>
    <xf numFmtId="44" fontId="7" fillId="6" borderId="0" xfId="7" applyNumberFormat="1" applyFont="1" applyFill="1" applyAlignment="1">
      <alignment horizontal="right" vertical="center" indent="1"/>
    </xf>
    <xf numFmtId="0" fontId="7" fillId="6" borderId="0" xfId="0" applyNumberFormat="1" applyFont="1" applyAlignment="1">
      <alignment horizontal="right" vertical="center" indent="1"/>
    </xf>
    <xf numFmtId="15" fontId="63" fillId="18" borderId="6" xfId="0" applyNumberFormat="1" applyFont="1" applyFill="1" applyBorder="1">
      <alignment vertical="center"/>
    </xf>
  </cellXfs>
  <cellStyles count="9">
    <cellStyle name="Currency" xfId="7" builtinId="4"/>
    <cellStyle name="Explanatory Text" xfId="6" builtinId="53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hidden="1" customBuiltin="1"/>
    <cellStyle name="Normal" xfId="0" builtinId="0" customBuiltin="1"/>
    <cellStyle name="Percent" xfId="8" builtinId="5"/>
    <cellStyle name="Title" xfId="5" builtinId="15"/>
  </cellStyles>
  <dxfs count="12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indent="1" justifyLastLine="0" shrinkToFit="0" readingOrder="0"/>
    </dxf>
    <dxf>
      <font>
        <color theme="9" tint="-0.499984740745262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FFFFFF"/>
        <name val="verdana"/>
        <family val="2"/>
        <scheme val="none"/>
      </font>
      <fill>
        <patternFill patternType="solid">
          <fgColor rgb="FF000000"/>
          <bgColor rgb="FF000000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0"/>
        <name val="Gill Sans MT"/>
        <family val="2"/>
        <scheme val="maj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62626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0"/>
        <name val="Gill Sans MT"/>
        <family val="2"/>
        <scheme val="maj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3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numFmt numFmtId="164" formatCode="&quot;$&quot;#,##0.00"/>
      <fill>
        <patternFill patternType="solid">
          <fgColor indexed="64"/>
          <bgColor theme="4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0"/>
        <name val="Gill Sans MT"/>
        <family val="2"/>
        <scheme val="maj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3743705557422"/>
        <name val="verdan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ill Sans MT"/>
        <family val="2"/>
        <scheme val="major"/>
      </font>
      <fill>
        <patternFill patternType="solid">
          <fgColor indexed="64"/>
          <bgColor rgb="FFF7F7F7"/>
        </patternFill>
      </fill>
      <alignment horizontal="right" vertical="center" textRotation="0" wrapText="0" indent="1" justifyLastLine="0" shrinkToFit="0" readingOrder="0"/>
    </dxf>
    <dxf>
      <fill>
        <patternFill>
          <bgColor theme="5" tint="0.79998168889431442"/>
        </patternFill>
      </fill>
    </dxf>
    <dxf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 style="thin">
          <color theme="5" tint="0.39994506668294322"/>
        </vertical>
        <horizontal style="thin">
          <color theme="5" tint="0.39994506668294322"/>
        </horizontal>
      </border>
    </dxf>
    <dxf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 style="thin">
          <color theme="5" tint="0.39994506668294322"/>
        </vertical>
        <horizontal style="thin">
          <color theme="5" tint="0.39994506668294322"/>
        </horizontal>
      </border>
    </dxf>
    <dxf>
      <font>
        <u val="none"/>
        <color theme="1"/>
      </font>
      <fill>
        <patternFill>
          <fgColor theme="5" tint="0.79998168889431442"/>
          <bgColor theme="5" tint="0.79995117038483843"/>
        </patternFill>
      </fill>
    </dxf>
    <dxf>
      <fill>
        <patternFill>
          <bgColor theme="5" tint="0.39994506668294322"/>
        </patternFill>
      </fill>
    </dxf>
    <dxf>
      <border>
        <vertical style="thin">
          <color theme="5" tint="0.39994506668294322"/>
        </vertical>
        <horizontal style="thin">
          <color theme="5" tint="0.39994506668294322"/>
        </horizontal>
      </border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 val="0"/>
        <i val="0"/>
        <color theme="6" tint="-0.499984740745262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theme="6" tint="-0.499984740745262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 val="0"/>
        <i val="0"/>
        <color theme="6" tint="-0.499984740745262"/>
      </font>
      <border>
        <top style="thin">
          <color theme="6" tint="-0.24994659260841701"/>
        </top>
      </border>
    </dxf>
    <dxf>
      <font>
        <b val="0"/>
        <i val="0"/>
        <color theme="6" tint="-0.499984740745262"/>
      </font>
      <border>
        <bottom style="thin">
          <color theme="6" tint="-0.24994659260841701"/>
        </bottom>
      </border>
    </dxf>
    <dxf>
      <font>
        <b val="0"/>
        <i val="0"/>
        <color theme="6" tint="-0.499984740745262"/>
      </font>
      <border>
        <top style="thin">
          <color theme="6" tint="-0.24994659260841701"/>
        </top>
        <bottom style="thin">
          <color theme="6" tint="-0.24994659260841701"/>
        </bottom>
      </border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 val="0"/>
        <i val="0"/>
        <color theme="5" tint="-0.499984740745262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color theme="5" tint="-0.499984740745262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/>
        <i val="0"/>
        <color theme="5" tint="-0.499984740745262"/>
      </font>
    </dxf>
    <dxf>
      <font>
        <b val="0"/>
        <i val="0"/>
        <color theme="5" tint="-0.499984740745262"/>
      </font>
      <border>
        <top style="thin">
          <color theme="5" tint="-0.24994659260841701"/>
        </top>
      </border>
    </dxf>
    <dxf>
      <font>
        <b val="0"/>
        <i val="0"/>
        <color theme="5" tint="-0.499984740745262"/>
      </font>
      <border>
        <bottom style="thin">
          <color theme="5" tint="-0.24994659260841701"/>
        </bottom>
      </border>
    </dxf>
    <dxf>
      <font>
        <b val="0"/>
        <i val="0"/>
        <color theme="5" tint="-0.499984740745262"/>
      </font>
      <border>
        <top style="thin">
          <color theme="5" tint="-0.24994659260841701"/>
        </top>
        <bottom style="thin">
          <color theme="5" tint="-0.24994659260841701"/>
        </bottom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color theme="4" tint="-0.499984740745262"/>
      </font>
      <fill>
        <patternFill patternType="solid">
          <fgColor theme="4" tint="0.79995117038483843"/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</dxf>
    <dxf>
      <font>
        <b val="0"/>
        <i val="0"/>
        <color theme="4" tint="-0.499984740745262"/>
      </font>
      <fill>
        <patternFill patternType="none">
          <bgColor auto="1"/>
        </patternFill>
      </fill>
      <border>
        <top style="thin">
          <color theme="4" tint="-0.24994659260841701"/>
        </top>
      </border>
    </dxf>
    <dxf>
      <border diagonalUp="0" diagonalDown="0">
        <left/>
        <right/>
        <top/>
        <bottom style="thin">
          <color theme="4" tint="-0.499984740745262"/>
        </bottom>
        <vertical/>
        <horizontal/>
      </border>
    </dxf>
    <dxf>
      <font>
        <b val="0"/>
        <i val="0"/>
        <color theme="4" tint="-0.499984740745262"/>
      </font>
      <border>
        <top style="thin">
          <color theme="4" tint="-0.24994659260841701"/>
        </top>
        <bottom style="thin">
          <color theme="4" tint="-0.24994659260841701"/>
        </bottom>
      </border>
    </dxf>
  </dxfs>
  <tableStyles count="4" defaultTableStyle="Personal Budget - Expense" defaultPivotStyle="PivotStyleLight16">
    <tableStyle name="Persona Budget - Revenue" pivot="0" count="9" xr9:uid="{00000000-0011-0000-FFFF-FFFF00000000}">
      <tableStyleElement type="wholeTable" dxfId="1214"/>
      <tableStyleElement type="headerRow" dxfId="1213"/>
      <tableStyleElement type="totalRow" dxfId="1212"/>
      <tableStyleElement type="firstColumn" dxfId="1211"/>
      <tableStyleElement type="lastColumn" dxfId="1210"/>
      <tableStyleElement type="firstRowStripe" dxfId="1209"/>
      <tableStyleElement type="firstColumnStripe" dxfId="1208"/>
      <tableStyleElement type="firstTotalCell" dxfId="1207"/>
      <tableStyleElement type="lastTotalCell" dxfId="1206"/>
    </tableStyle>
    <tableStyle name="Personal Budget - Expense" pivot="0" count="9" xr9:uid="{00000000-0011-0000-FFFF-FFFF01000000}">
      <tableStyleElement type="wholeTable" dxfId="1205"/>
      <tableStyleElement type="headerRow" dxfId="1204"/>
      <tableStyleElement type="totalRow" dxfId="1203"/>
      <tableStyleElement type="firstColumn" dxfId="1202"/>
      <tableStyleElement type="lastColumn" dxfId="1201"/>
      <tableStyleElement type="firstRowStripe" dxfId="1200"/>
      <tableStyleElement type="firstColumnStripe" dxfId="1199"/>
      <tableStyleElement type="firstTotalCell" dxfId="1198"/>
      <tableStyleElement type="lastTotalCell" dxfId="1197"/>
    </tableStyle>
    <tableStyle name="Personal Budget - Total" pivot="0" count="9" xr9:uid="{00000000-0011-0000-FFFF-FFFF02000000}">
      <tableStyleElement type="wholeTable" dxfId="1196"/>
      <tableStyleElement type="headerRow" dxfId="1195"/>
      <tableStyleElement type="totalRow" dxfId="1194"/>
      <tableStyleElement type="firstColumn" dxfId="1193"/>
      <tableStyleElement type="lastColumn" dxfId="1192"/>
      <tableStyleElement type="firstRowStripe" dxfId="1191"/>
      <tableStyleElement type="firstColumnStripe" dxfId="1190"/>
      <tableStyleElement type="firstTotalCell" dxfId="1189"/>
      <tableStyleElement type="lastTotalCell" dxfId="1188"/>
    </tableStyle>
    <tableStyle name="Table Style 1" pivot="0" count="6" xr9:uid="{456F6818-18F1-E948-8739-F0108FE3AA10}">
      <tableStyleElement type="wholeTable" dxfId="1187"/>
      <tableStyleElement type="headerRow" dxfId="1186"/>
      <tableStyleElement type="totalRow" dxfId="1185"/>
      <tableStyleElement type="firstRowStripe" dxfId="1184"/>
      <tableStyleElement type="secondRowStripe" dxfId="1183"/>
      <tableStyleElement type="secondColumnStripe" dxfId="1182"/>
    </tableStyle>
  </tableStyles>
  <colors>
    <mruColors>
      <color rgb="FFF7F7F7"/>
      <color rgb="FFF3F8FF"/>
      <color rgb="FFE6F8FA"/>
      <color rgb="FFEFF5FF"/>
      <color rgb="FFD6E8F6"/>
      <color rgb="FFE6E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'2026'!$O$57</c:f>
              <c:strCache>
                <c:ptCount val="1"/>
                <c:pt idx="0">
                  <c:v>Invested Total</c:v>
                </c:pt>
              </c:strCache>
            </c:strRef>
          </c:tx>
          <c:spPr>
            <a:effectLst>
              <a:outerShdw blurRad="50800" dist="50800" dir="5400000" algn="ctr" rotWithShape="0">
                <a:schemeClr val="bg2">
                  <a:lumMod val="75000"/>
                </a:scheme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18000"/>
                    </a:schemeClr>
                  </a:gs>
                  <a:gs pos="50000">
                    <a:schemeClr val="accent1">
                      <a:satMod val="89000"/>
                      <a:lumMod val="91000"/>
                    </a:schemeClr>
                  </a:gs>
                  <a:gs pos="100000">
                    <a:schemeClr val="accent1"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94-BE44-95C0-D44D845000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18000"/>
                    </a:schemeClr>
                  </a:gs>
                  <a:gs pos="50000">
                    <a:schemeClr val="accent2">
                      <a:satMod val="89000"/>
                      <a:lumMod val="91000"/>
                    </a:schemeClr>
                  </a:gs>
                  <a:gs pos="100000">
                    <a:schemeClr val="accent2"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94-BE44-95C0-D44D845000A1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94-BE44-95C0-D44D845000A1}"/>
              </c:ext>
            </c:extLst>
          </c:dPt>
          <c:dPt>
            <c:idx val="3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94-BE44-95C0-D44D845000A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94-BE44-95C0-D44D845000A1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194-BE44-95C0-D44D845000A1}"/>
              </c:ext>
            </c:extLst>
          </c:dPt>
          <c:dPt>
            <c:idx val="6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194-BE44-95C0-D44D845000A1}"/>
              </c:ext>
            </c:extLst>
          </c:dPt>
          <c:dPt>
            <c:idx val="7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194-BE44-95C0-D44D845000A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18000"/>
                    </a:schemeClr>
                  </a:gs>
                  <a:gs pos="50000">
                    <a:schemeClr val="accent3">
                      <a:lumMod val="60000"/>
                      <a:satMod val="89000"/>
                      <a:lumMod val="91000"/>
                    </a:schemeClr>
                  </a:gs>
                  <a:gs pos="100000">
                    <a:schemeClr val="accent3">
                      <a:lumMod val="60000"/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194-BE44-95C0-D44D845000A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18000"/>
                    </a:schemeClr>
                  </a:gs>
                  <a:gs pos="50000">
                    <a:schemeClr val="accent4">
                      <a:lumMod val="60000"/>
                      <a:satMod val="89000"/>
                      <a:lumMod val="91000"/>
                    </a:schemeClr>
                  </a:gs>
                  <a:gs pos="100000">
                    <a:schemeClr val="accent4">
                      <a:lumMod val="60000"/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9B1-B74B-A072-38F560B4B22D}"/>
              </c:ext>
            </c:extLst>
          </c:dPt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94-BE44-95C0-D44D845000A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B1-B74B-A072-38F560B4B2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'2026'!$A$58:$A$68</c:f>
              <c:strCache>
                <c:ptCount val="10"/>
                <c:pt idx="0">
                  <c:v>Loans Given</c:v>
                </c:pt>
                <c:pt idx="1">
                  <c:v>Robinhood</c:v>
                </c:pt>
                <c:pt idx="2">
                  <c:v>Coin by Zerodha MF</c:v>
                </c:pt>
                <c:pt idx="3">
                  <c:v>Grow</c:v>
                </c:pt>
                <c:pt idx="4">
                  <c:v>Fidelity</c:v>
                </c:pt>
                <c:pt idx="5">
                  <c:v>Zerodha</c:v>
                </c:pt>
                <c:pt idx="6">
                  <c:v>Angel Investing</c:v>
                </c:pt>
                <c:pt idx="7">
                  <c:v>Angel One</c:v>
                </c:pt>
                <c:pt idx="8">
                  <c:v>Coinbase</c:v>
                </c:pt>
                <c:pt idx="9">
                  <c:v>Coin DCX</c:v>
                </c:pt>
              </c:strCache>
            </c:strRef>
          </c:cat>
          <c:val>
            <c:numRef>
              <c:f>'2026'!$O$58:$O$68</c:f>
              <c:numCache>
                <c:formatCode>"$"#,##0.00</c:formatCode>
                <c:ptCount val="10"/>
                <c:pt idx="0">
                  <c:v>7000</c:v>
                </c:pt>
                <c:pt idx="1">
                  <c:v>2857.44</c:v>
                </c:pt>
                <c:pt idx="2">
                  <c:v>1865.82</c:v>
                </c:pt>
                <c:pt idx="3">
                  <c:v>1397.01</c:v>
                </c:pt>
                <c:pt idx="4">
                  <c:v>1381</c:v>
                </c:pt>
                <c:pt idx="5">
                  <c:v>1374.02</c:v>
                </c:pt>
                <c:pt idx="6">
                  <c:v>1709.81</c:v>
                </c:pt>
                <c:pt idx="7">
                  <c:v>1130.3699999999999</c:v>
                </c:pt>
                <c:pt idx="8">
                  <c:v>42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194-BE44-95C0-D44D845000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83123359580052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 Visualizations'!$K$76</c:f>
              <c:strCache>
                <c:ptCount val="1"/>
                <c:pt idx="0">
                  <c:v>Normal 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 Visualizations'!$J$77:$J$81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'2026 Visualizations'!$K$77:$K$81</c:f>
              <c:numCache>
                <c:formatCode>"$"#,##0.00</c:formatCode>
                <c:ptCount val="5"/>
                <c:pt idx="0">
                  <c:v>2011.72</c:v>
                </c:pt>
                <c:pt idx="1">
                  <c:v>2875.6200000000003</c:v>
                </c:pt>
                <c:pt idx="2">
                  <c:v>7490.77</c:v>
                </c:pt>
                <c:pt idx="3">
                  <c:v>7479.65</c:v>
                </c:pt>
                <c:pt idx="4">
                  <c:v>2176.27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2-594B-A7D2-E704093B3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6630079"/>
        <c:axId val="2141707711"/>
      </c:barChart>
      <c:lineChart>
        <c:grouping val="standard"/>
        <c:varyColors val="0"/>
        <c:ser>
          <c:idx val="1"/>
          <c:order val="1"/>
          <c:tx>
            <c:strRef>
              <c:f>'2026 Visualizations'!$L$76</c:f>
              <c:strCache>
                <c:ptCount val="1"/>
                <c:pt idx="0">
                  <c:v>Remittances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 Visualizations'!$J$77:$J$81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'2026 Visualizations'!$L$77:$L$81</c:f>
              <c:numCache>
                <c:formatCode>"$"#,##0.00</c:formatCode>
                <c:ptCount val="5"/>
                <c:pt idx="0">
                  <c:v>1043</c:v>
                </c:pt>
                <c:pt idx="1">
                  <c:v>5430.51</c:v>
                </c:pt>
                <c:pt idx="2">
                  <c:v>8866.52</c:v>
                </c:pt>
                <c:pt idx="3">
                  <c:v>4389.5200000000004</c:v>
                </c:pt>
                <c:pt idx="4">
                  <c:v>3838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F2-594B-A7D2-E704093B3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30079"/>
        <c:axId val="2141707711"/>
      </c:lineChart>
      <c:catAx>
        <c:axId val="214663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07711"/>
        <c:crosses val="autoZero"/>
        <c:auto val="1"/>
        <c:lblAlgn val="ctr"/>
        <c:lblOffset val="100"/>
        <c:noMultiLvlLbl val="0"/>
      </c:catAx>
      <c:valAx>
        <c:axId val="21417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3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Expenses (Excluding Remittances)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 Visualizations'!$B$76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 Visualizations'!$A$77:$A$84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'2026 Visualizations'!$B$77:$B$84</c:f>
              <c:numCache>
                <c:formatCode>"$"#,##0.00</c:formatCode>
                <c:ptCount val="8"/>
                <c:pt idx="0">
                  <c:v>959</c:v>
                </c:pt>
                <c:pt idx="1">
                  <c:v>494.25</c:v>
                </c:pt>
                <c:pt idx="2">
                  <c:v>4</c:v>
                </c:pt>
                <c:pt idx="3">
                  <c:v>56.95</c:v>
                </c:pt>
                <c:pt idx="4">
                  <c:v>421</c:v>
                </c:pt>
                <c:pt idx="5">
                  <c:v>0</c:v>
                </c:pt>
                <c:pt idx="6">
                  <c:v>64.53</c:v>
                </c:pt>
                <c:pt idx="7">
                  <c:v>11.99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5-C145-B1AF-B6F2BC462520}"/>
            </c:ext>
          </c:extLst>
        </c:ser>
        <c:ser>
          <c:idx val="1"/>
          <c:order val="1"/>
          <c:tx>
            <c:strRef>
              <c:f>'2026 Visualizations'!$C$76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'2026 Visualizations'!$A$77:$A$84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'2026 Visualizations'!$C$77:$C$84</c:f>
              <c:numCache>
                <c:formatCode>"$"#,##0.00</c:formatCode>
                <c:ptCount val="8"/>
                <c:pt idx="0">
                  <c:v>800</c:v>
                </c:pt>
                <c:pt idx="1">
                  <c:v>664.87</c:v>
                </c:pt>
                <c:pt idx="2">
                  <c:v>64.680000000000007</c:v>
                </c:pt>
                <c:pt idx="3">
                  <c:v>428.62</c:v>
                </c:pt>
                <c:pt idx="4">
                  <c:v>586</c:v>
                </c:pt>
                <c:pt idx="5">
                  <c:v>271.94</c:v>
                </c:pt>
                <c:pt idx="6">
                  <c:v>54.510000000000005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5-C145-B1AF-B6F2BC462520}"/>
            </c:ext>
          </c:extLst>
        </c:ser>
        <c:ser>
          <c:idx val="2"/>
          <c:order val="2"/>
          <c:tx>
            <c:strRef>
              <c:f>'2026 Visualizations'!$D$76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'2026 Visualizations'!$A$77:$A$84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'2026 Visualizations'!$D$77:$D$84</c:f>
              <c:numCache>
                <c:formatCode>"$"#,##0.00</c:formatCode>
                <c:ptCount val="8"/>
                <c:pt idx="0">
                  <c:v>2196.0300000000002</c:v>
                </c:pt>
                <c:pt idx="1">
                  <c:v>173.96</c:v>
                </c:pt>
                <c:pt idx="2">
                  <c:v>24.75</c:v>
                </c:pt>
                <c:pt idx="3">
                  <c:v>500</c:v>
                </c:pt>
                <c:pt idx="4">
                  <c:v>23.369999999999997</c:v>
                </c:pt>
                <c:pt idx="5">
                  <c:v>4444.49</c:v>
                </c:pt>
                <c:pt idx="6">
                  <c:v>58.17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15-C145-B1AF-B6F2BC462520}"/>
            </c:ext>
          </c:extLst>
        </c:ser>
        <c:ser>
          <c:idx val="3"/>
          <c:order val="3"/>
          <c:tx>
            <c:strRef>
              <c:f>'2026 Visualizations'!$E$76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 Visualizations'!$A$77:$A$84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'2026 Visualizations'!$E$77:$E$84</c:f>
              <c:numCache>
                <c:formatCode>"$"#,##0.00</c:formatCode>
                <c:ptCount val="8"/>
                <c:pt idx="0">
                  <c:v>859.1</c:v>
                </c:pt>
                <c:pt idx="1">
                  <c:v>386.65999999999997</c:v>
                </c:pt>
                <c:pt idx="2">
                  <c:v>10.210000000000001</c:v>
                </c:pt>
                <c:pt idx="3">
                  <c:v>200</c:v>
                </c:pt>
                <c:pt idx="4">
                  <c:v>41</c:v>
                </c:pt>
                <c:pt idx="5">
                  <c:v>5816.0599999999995</c:v>
                </c:pt>
                <c:pt idx="6">
                  <c:v>58.32</c:v>
                </c:pt>
                <c:pt idx="7">
                  <c:v>108.30000000000001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15-C145-B1AF-B6F2BC462520}"/>
            </c:ext>
          </c:extLst>
        </c:ser>
        <c:ser>
          <c:idx val="4"/>
          <c:order val="4"/>
          <c:tx>
            <c:strRef>
              <c:f>'2026 Visualizations'!$F$76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'2026 Visualizations'!$A$77:$A$84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'2026 Visualizations'!$F$77:$F$84</c:f>
              <c:numCache>
                <c:formatCode>"$"#,##0.00</c:formatCode>
                <c:ptCount val="8"/>
                <c:pt idx="0">
                  <c:v>1547.96</c:v>
                </c:pt>
                <c:pt idx="1">
                  <c:v>195.15</c:v>
                </c:pt>
                <c:pt idx="2">
                  <c:v>11.32</c:v>
                </c:pt>
                <c:pt idx="3">
                  <c:v>0</c:v>
                </c:pt>
                <c:pt idx="4">
                  <c:v>0</c:v>
                </c:pt>
                <c:pt idx="5">
                  <c:v>188.86</c:v>
                </c:pt>
                <c:pt idx="6">
                  <c:v>59.53</c:v>
                </c:pt>
                <c:pt idx="7">
                  <c:v>173.45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15-C145-B1AF-B6F2BC462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637055"/>
        <c:axId val="2109640191"/>
      </c:barChart>
      <c:catAx>
        <c:axId val="21096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40191"/>
        <c:crosses val="autoZero"/>
        <c:auto val="1"/>
        <c:lblAlgn val="ctr"/>
        <c:lblOffset val="100"/>
        <c:noMultiLvlLbl val="0"/>
      </c:catAx>
      <c:valAx>
        <c:axId val="210964019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37055"/>
        <c:crosses val="autoZero"/>
        <c:crossBetween val="between"/>
        <c:majorUnit val="50"/>
        <c:min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'2026'!$O$57</c:f>
              <c:strCache>
                <c:ptCount val="1"/>
                <c:pt idx="0">
                  <c:v>Invested Total</c:v>
                </c:pt>
              </c:strCache>
            </c:strRef>
          </c:tx>
          <c:spPr>
            <a:effectLst>
              <a:outerShdw blurRad="50800" dist="50800" dir="5400000" algn="ctr" rotWithShape="0">
                <a:schemeClr val="bg2">
                  <a:lumMod val="75000"/>
                </a:scheme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18000"/>
                    </a:schemeClr>
                  </a:gs>
                  <a:gs pos="50000">
                    <a:schemeClr val="accent1">
                      <a:satMod val="89000"/>
                      <a:lumMod val="91000"/>
                    </a:schemeClr>
                  </a:gs>
                  <a:gs pos="100000">
                    <a:schemeClr val="accent1"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3B-F24A-93D5-34CE518321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18000"/>
                    </a:schemeClr>
                  </a:gs>
                  <a:gs pos="50000">
                    <a:schemeClr val="accent2">
                      <a:satMod val="89000"/>
                      <a:lumMod val="91000"/>
                    </a:schemeClr>
                  </a:gs>
                  <a:gs pos="100000">
                    <a:schemeClr val="accent2"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63B-F24A-93D5-34CE518321B7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3B-F24A-93D5-34CE518321B7}"/>
              </c:ext>
            </c:extLst>
          </c:dPt>
          <c:dPt>
            <c:idx val="3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63B-F24A-93D5-34CE518321B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3B-F24A-93D5-34CE518321B7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63B-F24A-93D5-34CE518321B7}"/>
              </c:ext>
            </c:extLst>
          </c:dPt>
          <c:dPt>
            <c:idx val="6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3B-F24A-93D5-34CE518321B7}"/>
              </c:ext>
            </c:extLst>
          </c:dPt>
          <c:dPt>
            <c:idx val="7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63B-F24A-93D5-34CE518321B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18000"/>
                    </a:schemeClr>
                  </a:gs>
                  <a:gs pos="50000">
                    <a:schemeClr val="accent3">
                      <a:lumMod val="60000"/>
                      <a:satMod val="89000"/>
                      <a:lumMod val="91000"/>
                    </a:schemeClr>
                  </a:gs>
                  <a:gs pos="100000">
                    <a:schemeClr val="accent3">
                      <a:lumMod val="60000"/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63B-F24A-93D5-34CE518321B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18000"/>
                    </a:schemeClr>
                  </a:gs>
                  <a:gs pos="50000">
                    <a:schemeClr val="accent4">
                      <a:lumMod val="60000"/>
                      <a:satMod val="89000"/>
                      <a:lumMod val="91000"/>
                    </a:schemeClr>
                  </a:gs>
                  <a:gs pos="100000">
                    <a:schemeClr val="accent4">
                      <a:lumMod val="60000"/>
                      <a:lumMod val="6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algn="ctr" rotWithShape="0">
                  <a:schemeClr val="bg2">
                    <a:lumMod val="7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63B-F24A-93D5-34CE518321B7}"/>
              </c:ext>
            </c:extLst>
          </c:dPt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63B-F24A-93D5-34CE518321B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3B-F24A-93D5-34CE518321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'2026'!$A$58:$A$68</c:f>
              <c:strCache>
                <c:ptCount val="10"/>
                <c:pt idx="0">
                  <c:v>Loans Given</c:v>
                </c:pt>
                <c:pt idx="1">
                  <c:v>Robinhood</c:v>
                </c:pt>
                <c:pt idx="2">
                  <c:v>Coin by Zerodha MF</c:v>
                </c:pt>
                <c:pt idx="3">
                  <c:v>Grow</c:v>
                </c:pt>
                <c:pt idx="4">
                  <c:v>Fidelity</c:v>
                </c:pt>
                <c:pt idx="5">
                  <c:v>Zerodha</c:v>
                </c:pt>
                <c:pt idx="6">
                  <c:v>Angel Investing</c:v>
                </c:pt>
                <c:pt idx="7">
                  <c:v>Angel One</c:v>
                </c:pt>
                <c:pt idx="8">
                  <c:v>Coinbase</c:v>
                </c:pt>
                <c:pt idx="9">
                  <c:v>Coin DCX</c:v>
                </c:pt>
              </c:strCache>
            </c:strRef>
          </c:cat>
          <c:val>
            <c:numRef>
              <c:f>'2026'!$O$58:$O$68</c:f>
              <c:numCache>
                <c:formatCode>"$"#,##0.00</c:formatCode>
                <c:ptCount val="10"/>
                <c:pt idx="0">
                  <c:v>7000</c:v>
                </c:pt>
                <c:pt idx="1">
                  <c:v>2857.44</c:v>
                </c:pt>
                <c:pt idx="2">
                  <c:v>1865.82</c:v>
                </c:pt>
                <c:pt idx="3">
                  <c:v>1397.01</c:v>
                </c:pt>
                <c:pt idx="4">
                  <c:v>1381</c:v>
                </c:pt>
                <c:pt idx="5">
                  <c:v>1374.02</c:v>
                </c:pt>
                <c:pt idx="6">
                  <c:v>1709.81</c:v>
                </c:pt>
                <c:pt idx="7">
                  <c:v>1130.3699999999999</c:v>
                </c:pt>
                <c:pt idx="8">
                  <c:v>42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F24A-93D5-34CE518321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pattFill prst="pct5">
                <a:fgClr>
                  <a:schemeClr val="tx1"/>
                </a:fgClr>
                <a:bgClr>
                  <a:schemeClr val="bg1"/>
                </a:bgClr>
              </a:patt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'2026'!$O$57</c:f>
              <c:strCache>
                <c:ptCount val="1"/>
                <c:pt idx="0">
                  <c:v>Invested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E5-2847-BD5B-30A49DF6E0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E5-2847-BD5B-30A49DF6E0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E5-2847-BD5B-30A49DF6E0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E5-2847-BD5B-30A49DF6E0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1E5-2847-BD5B-30A49DF6E0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1E5-2847-BD5B-30A49DF6E0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1E5-2847-BD5B-30A49DF6E0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1E5-2847-BD5B-30A49DF6E0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1E5-2847-BD5B-30A49DF6E06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1E5-2847-BD5B-30A49DF6E0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pattFill prst="pct5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'2026'!$O$58:$O$67</c:f>
              <c:numCache>
                <c:formatCode>"$"#,##0.00</c:formatCode>
                <c:ptCount val="10"/>
                <c:pt idx="0">
                  <c:v>7000</c:v>
                </c:pt>
                <c:pt idx="1">
                  <c:v>2857.44</c:v>
                </c:pt>
                <c:pt idx="2">
                  <c:v>1865.82</c:v>
                </c:pt>
                <c:pt idx="3">
                  <c:v>1397.01</c:v>
                </c:pt>
                <c:pt idx="4">
                  <c:v>1381</c:v>
                </c:pt>
                <c:pt idx="5">
                  <c:v>1374.02</c:v>
                </c:pt>
                <c:pt idx="6">
                  <c:v>1709.81</c:v>
                </c:pt>
                <c:pt idx="7">
                  <c:v>1130.3699999999999</c:v>
                </c:pt>
                <c:pt idx="8">
                  <c:v>42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6-744E-A601-688C9D73CE9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pattFill prst="pct5">
            <a:fgClr>
              <a:schemeClr val="tx1"/>
            </a:fgClr>
            <a:bgClr>
              <a:schemeClr val="bg1"/>
            </a:bgClr>
          </a:patt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83123359580052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Visualizations'!$B$35</c:f>
              <c:strCache>
                <c:ptCount val="1"/>
                <c:pt idx="0">
                  <c:v>Normal 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 Visualizations'!$A$36:$A$40</c:f>
              <c:strCache>
                <c:ptCount val="5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</c:strCache>
            </c:strRef>
          </c:cat>
          <c:val>
            <c:numRef>
              <c:f>'2025 Visualizations'!$B$36:$B$40</c:f>
              <c:numCache>
                <c:formatCode>General</c:formatCode>
                <c:ptCount val="5"/>
                <c:pt idx="0">
                  <c:v>2311.2800000000002</c:v>
                </c:pt>
                <c:pt idx="1">
                  <c:v>2199.23</c:v>
                </c:pt>
                <c:pt idx="2">
                  <c:v>3574.31</c:v>
                </c:pt>
                <c:pt idx="3">
                  <c:v>2022.72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6-3249-9B24-EBC4C8CC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6630079"/>
        <c:axId val="2141707711"/>
      </c:barChart>
      <c:lineChart>
        <c:grouping val="standard"/>
        <c:varyColors val="0"/>
        <c:ser>
          <c:idx val="1"/>
          <c:order val="1"/>
          <c:tx>
            <c:strRef>
              <c:f>'2025 Visualizations'!$C$35</c:f>
              <c:strCache>
                <c:ptCount val="1"/>
                <c:pt idx="0">
                  <c:v>Remittances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 Visualizations'!$A$36:$A$40</c:f>
              <c:strCache>
                <c:ptCount val="5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</c:strCache>
            </c:strRef>
          </c:cat>
          <c:val>
            <c:numRef>
              <c:f>'2025 Visualizations'!$C$36:$C$40</c:f>
              <c:numCache>
                <c:formatCode>"$"#,##0.00</c:formatCode>
                <c:ptCount val="5"/>
                <c:pt idx="0">
                  <c:v>3838.61</c:v>
                </c:pt>
                <c:pt idx="1">
                  <c:v>4950</c:v>
                </c:pt>
                <c:pt idx="2">
                  <c:v>2964.72</c:v>
                </c:pt>
                <c:pt idx="3">
                  <c:v>1493.47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46-3249-9B24-EBC4C8CC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30079"/>
        <c:axId val="2141707711"/>
      </c:lineChart>
      <c:catAx>
        <c:axId val="214663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07711"/>
        <c:crosses val="autoZero"/>
        <c:auto val="1"/>
        <c:lblAlgn val="ctr"/>
        <c:lblOffset val="100"/>
        <c:noMultiLvlLbl val="0"/>
      </c:catAx>
      <c:valAx>
        <c:axId val="21417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3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Visualizations'!$B$35</c:f>
              <c:strCache>
                <c:ptCount val="1"/>
                <c:pt idx="0">
                  <c:v>Normal Spending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18000"/>
                  </a:schemeClr>
                </a:gs>
                <a:gs pos="50000">
                  <a:schemeClr val="accent1">
                    <a:satMod val="89000"/>
                    <a:lumMod val="91000"/>
                  </a:schemeClr>
                </a:gs>
                <a:gs pos="100000">
                  <a:schemeClr val="accent1">
                    <a:lumMod val="6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'2025 Visualizations'!$A$36:$A$40</c:f>
              <c:strCache>
                <c:ptCount val="5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</c:strCache>
            </c:strRef>
          </c:cat>
          <c:val>
            <c:numRef>
              <c:f>'2025 Visualizations'!$B$36:$B$40</c:f>
              <c:numCache>
                <c:formatCode>General</c:formatCode>
                <c:ptCount val="5"/>
                <c:pt idx="0">
                  <c:v>2311.2800000000002</c:v>
                </c:pt>
                <c:pt idx="1">
                  <c:v>2199.23</c:v>
                </c:pt>
                <c:pt idx="2">
                  <c:v>3574.31</c:v>
                </c:pt>
                <c:pt idx="3">
                  <c:v>2022.72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6-7245-A0E6-57FD0420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146147775"/>
        <c:axId val="2145866111"/>
      </c:barChart>
      <c:lineChart>
        <c:grouping val="standard"/>
        <c:varyColors val="0"/>
        <c:ser>
          <c:idx val="1"/>
          <c:order val="1"/>
          <c:tx>
            <c:strRef>
              <c:f>'2025 Visualizations'!$C$35</c:f>
              <c:strCache>
                <c:ptCount val="1"/>
                <c:pt idx="0">
                  <c:v>Remittances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'2025 Visualizations'!$A$36:$A$40</c:f>
              <c:strCache>
                <c:ptCount val="5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</c:strCache>
            </c:strRef>
          </c:cat>
          <c:val>
            <c:numRef>
              <c:f>'2025 Visualizations'!$C$36:$C$40</c:f>
              <c:numCache>
                <c:formatCode>"$"#,##0.00</c:formatCode>
                <c:ptCount val="5"/>
                <c:pt idx="0">
                  <c:v>3838.61</c:v>
                </c:pt>
                <c:pt idx="1">
                  <c:v>4950</c:v>
                </c:pt>
                <c:pt idx="2">
                  <c:v>2964.72</c:v>
                </c:pt>
                <c:pt idx="3">
                  <c:v>1493.47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6-7245-A0E6-57FD0420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775039"/>
        <c:axId val="2141775487"/>
      </c:lineChart>
      <c:catAx>
        <c:axId val="214614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866111"/>
        <c:crosses val="autoZero"/>
        <c:auto val="1"/>
        <c:lblAlgn val="ctr"/>
        <c:lblOffset val="100"/>
        <c:noMultiLvlLbl val="0"/>
      </c:catAx>
      <c:valAx>
        <c:axId val="21458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147775"/>
        <c:crosses val="autoZero"/>
        <c:crossBetween val="between"/>
      </c:valAx>
      <c:valAx>
        <c:axId val="2141775487"/>
        <c:scaling>
          <c:orientation val="minMax"/>
        </c:scaling>
        <c:delete val="0"/>
        <c:axPos val="r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75039"/>
        <c:crosses val="max"/>
        <c:crossBetween val="between"/>
      </c:valAx>
      <c:catAx>
        <c:axId val="21417750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41775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Expenses (Excluding Remittances)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Visualizations'!$B$23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 Visualizations'!$A$24:$A$31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'2025 Visualizations'!$B$24:$B$31</c:f>
              <c:numCache>
                <c:formatCode>General</c:formatCode>
                <c:ptCount val="8"/>
                <c:pt idx="0" formatCode="&quot;$&quot;#,##0.00">
                  <c:v>494.95000000000005</c:v>
                </c:pt>
                <c:pt idx="1">
                  <c:v>193.69</c:v>
                </c:pt>
                <c:pt idx="2" formatCode="&quot;$&quot;#,##0.00">
                  <c:v>116.25</c:v>
                </c:pt>
                <c:pt idx="3" formatCode="&quot;$&quot;#,##0.00">
                  <c:v>95.25</c:v>
                </c:pt>
                <c:pt idx="4" formatCode="&quot;$&quot;#,##0.00">
                  <c:v>106.49</c:v>
                </c:pt>
                <c:pt idx="5" formatCode="&quot;$&quot;#,##0.00">
                  <c:v>1268.3400000000001</c:v>
                </c:pt>
                <c:pt idx="6" formatCode="&quot;$&quot;#,##0.00">
                  <c:v>23.32</c:v>
                </c:pt>
                <c:pt idx="7" formatCode="&quot;$&quot;#,##0.00">
                  <c:v>12.99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7-D94A-AD81-C83AD6052482}"/>
            </c:ext>
          </c:extLst>
        </c:ser>
        <c:ser>
          <c:idx val="1"/>
          <c:order val="1"/>
          <c:tx>
            <c:strRef>
              <c:f>'2025 Visualizations'!$C$23</c:f>
              <c:strCache>
                <c:ptCount val="1"/>
                <c:pt idx="0">
                  <c:v>Sept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 Visualizations'!$A$24:$A$31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'2025 Visualizations'!$C$24:$C$31</c:f>
              <c:numCache>
                <c:formatCode>General</c:formatCode>
                <c:ptCount val="8"/>
                <c:pt idx="0" formatCode="&quot;$&quot;#,##0.00">
                  <c:v>1135</c:v>
                </c:pt>
                <c:pt idx="1">
                  <c:v>128.6</c:v>
                </c:pt>
                <c:pt idx="2" formatCode="&quot;$&quot;#,##0.00">
                  <c:v>281.95</c:v>
                </c:pt>
                <c:pt idx="3" formatCode="&quot;$&quot;#,##0.00">
                  <c:v>564</c:v>
                </c:pt>
                <c:pt idx="4" formatCode="&quot;$&quot;#,##0.00">
                  <c:v>37.520000000000003</c:v>
                </c:pt>
                <c:pt idx="5" formatCode="&quot;$&quot;#,##0.00">
                  <c:v>0</c:v>
                </c:pt>
                <c:pt idx="6" formatCode="&quot;$&quot;#,##0.00">
                  <c:v>52.160000000000004</c:v>
                </c:pt>
                <c:pt idx="7" formatCode="&quot;$&quot;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7-D94A-AD81-C83AD6052482}"/>
            </c:ext>
          </c:extLst>
        </c:ser>
        <c:ser>
          <c:idx val="2"/>
          <c:order val="2"/>
          <c:tx>
            <c:strRef>
              <c:f>'2025 Visualizations'!$D$23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Visualizations'!$A$24:$A$31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'2025 Visualizations'!$D$24:$D$31</c:f>
              <c:numCache>
                <c:formatCode>General</c:formatCode>
                <c:ptCount val="8"/>
                <c:pt idx="0" formatCode="&quot;$&quot;#,##0.00">
                  <c:v>579</c:v>
                </c:pt>
                <c:pt idx="1">
                  <c:v>133.26</c:v>
                </c:pt>
                <c:pt idx="2" formatCode="&quot;$&quot;#,##0.00">
                  <c:v>0</c:v>
                </c:pt>
                <c:pt idx="3" formatCode="&quot;$&quot;#,##0.00">
                  <c:v>1741</c:v>
                </c:pt>
                <c:pt idx="4" formatCode="&quot;$&quot;#,##0.00">
                  <c:v>612.49</c:v>
                </c:pt>
                <c:pt idx="5" formatCode="&quot;$&quot;#,##0.00">
                  <c:v>374</c:v>
                </c:pt>
                <c:pt idx="6" formatCode="&quot;$&quot;#,##0.00">
                  <c:v>62.92</c:v>
                </c:pt>
                <c:pt idx="7" formatCode="&quot;$&quot;#,##0.00">
                  <c:v>71.64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7-D94A-AD81-C83AD6052482}"/>
            </c:ext>
          </c:extLst>
        </c:ser>
        <c:ser>
          <c:idx val="3"/>
          <c:order val="3"/>
          <c:tx>
            <c:strRef>
              <c:f>'2025 Visualizations'!$E$23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 Visualizations'!$A$24:$A$31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'2025 Visualizations'!$E$24:$E$31</c:f>
              <c:numCache>
                <c:formatCode>General</c:formatCode>
                <c:ptCount val="8"/>
                <c:pt idx="0" formatCode="&quot;$&quot;#,##0.00">
                  <c:v>606.66999999999996</c:v>
                </c:pt>
                <c:pt idx="1">
                  <c:v>31.2</c:v>
                </c:pt>
                <c:pt idx="2" formatCode="&quot;$&quot;#,##0.00">
                  <c:v>32</c:v>
                </c:pt>
                <c:pt idx="3" formatCode="&quot;$&quot;#,##0.00">
                  <c:v>944</c:v>
                </c:pt>
                <c:pt idx="4" formatCode="&quot;$&quot;#,##0.00">
                  <c:v>226.92000000000002</c:v>
                </c:pt>
                <c:pt idx="5" formatCode="&quot;$&quot;#,##0.00">
                  <c:v>155</c:v>
                </c:pt>
                <c:pt idx="6" formatCode="&quot;$&quot;#,##0.00">
                  <c:v>12.99</c:v>
                </c:pt>
                <c:pt idx="7" formatCode="&quot;$&quot;#,##0.00">
                  <c:v>13.94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A7-D94A-AD81-C83AD6052482}"/>
            </c:ext>
          </c:extLst>
        </c:ser>
        <c:ser>
          <c:idx val="4"/>
          <c:order val="4"/>
          <c:tx>
            <c:strRef>
              <c:f>'2025 Visualizations'!$F$23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 Visualizations'!$A$24:$A$31</c:f>
              <c:strCache>
                <c:ptCount val="8"/>
                <c:pt idx="0">
                  <c:v>Rent</c:v>
                </c:pt>
                <c:pt idx="1">
                  <c:v>Grociers</c:v>
                </c:pt>
                <c:pt idx="2">
                  <c:v>Transportation</c:v>
                </c:pt>
                <c:pt idx="3">
                  <c:v>Credit Card</c:v>
                </c:pt>
                <c:pt idx="4">
                  <c:v>Vacation</c:v>
                </c:pt>
                <c:pt idx="5">
                  <c:v>Investment</c:v>
                </c:pt>
                <c:pt idx="6">
                  <c:v>Internet bills</c:v>
                </c:pt>
                <c:pt idx="7">
                  <c:v>Self care</c:v>
                </c:pt>
              </c:strCache>
            </c:strRef>
          </c:cat>
          <c:val>
            <c:numRef>
              <c:f>'2025 Visualizations'!$F$24:$F$31</c:f>
              <c:numCache>
                <c:formatCode>General</c:formatCode>
                <c:ptCount val="8"/>
                <c:pt idx="0" formatCode="&quot;$&quot;#,##0.00">
                  <c:v>0</c:v>
                </c:pt>
                <c:pt idx="1">
                  <c:v>0</c:v>
                </c:pt>
                <c:pt idx="2" formatCode="&quot;$&quot;#,##0.00">
                  <c:v>0</c:v>
                </c:pt>
                <c:pt idx="3" formatCode="&quot;$&quot;#,##0.00">
                  <c:v>0</c:v>
                </c:pt>
                <c:pt idx="4" formatCode="&quot;$&quot;#,##0.00">
                  <c:v>0</c:v>
                </c:pt>
                <c:pt idx="5" formatCode="&quot;$&quot;#,##0.00">
                  <c:v>0</c:v>
                </c:pt>
                <c:pt idx="6" formatCode="&quot;$&quot;#,##0.00">
                  <c:v>10</c:v>
                </c:pt>
                <c:pt idx="7" formatCode="&quot;$&quot;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A7-D94A-AD81-C83AD6052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637055"/>
        <c:axId val="2109640191"/>
      </c:barChart>
      <c:catAx>
        <c:axId val="21096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40191"/>
        <c:crosses val="autoZero"/>
        <c:auto val="1"/>
        <c:lblAlgn val="ctr"/>
        <c:lblOffset val="100"/>
        <c:noMultiLvlLbl val="0"/>
      </c:catAx>
      <c:valAx>
        <c:axId val="210964019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37055"/>
        <c:crosses val="autoZero"/>
        <c:crossBetween val="between"/>
        <c:majorUnit val="50"/>
        <c:min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736331374071201E-2"/>
          <c:y val="5.8075340014316391E-3"/>
          <c:w val="0.97822141510480221"/>
          <c:h val="0.9941924945552018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16-4B0A-B364-05588ACC21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16-4B0A-B364-05588ACC215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16-4B0A-B364-05588ACC215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16-4B0A-B364-05588ACC215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16-4B0A-B364-05588ACC21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'[2]Personal net worth'!$Q$1:$Q$5</c:f>
              <c:strCache>
                <c:ptCount val="5"/>
                <c:pt idx="0">
                  <c:v>Cash and Cash Equivalent</c:v>
                </c:pt>
                <c:pt idx="1">
                  <c:v>Retirement Savings</c:v>
                </c:pt>
                <c:pt idx="2">
                  <c:v>Life Insurance</c:v>
                </c:pt>
                <c:pt idx="3">
                  <c:v>Investments</c:v>
                </c:pt>
                <c:pt idx="4">
                  <c:v>Properties</c:v>
                </c:pt>
              </c:strCache>
            </c:strRef>
          </c:cat>
          <c:val>
            <c:numRef>
              <c:f>'[2]Personal net worth'!$R$1:$R$5</c:f>
              <c:numCache>
                <c:formatCode>General</c:formatCode>
                <c:ptCount val="5"/>
                <c:pt idx="0">
                  <c:v>42500</c:v>
                </c:pt>
                <c:pt idx="1">
                  <c:v>98000</c:v>
                </c:pt>
                <c:pt idx="2">
                  <c:v>103000</c:v>
                </c:pt>
                <c:pt idx="3">
                  <c:v>389008</c:v>
                </c:pt>
                <c:pt idx="4">
                  <c:v>1205000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16-4B0A-B364-05588ACC21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54827560"/>
        <c:axId val="454824280"/>
      </c:barChart>
      <c:catAx>
        <c:axId val="454827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4824280"/>
        <c:crosses val="autoZero"/>
        <c:auto val="1"/>
        <c:lblAlgn val="ctr"/>
        <c:lblOffset val="100"/>
        <c:noMultiLvlLbl val="0"/>
      </c:catAx>
      <c:valAx>
        <c:axId val="454824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48275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5214526755584144E-3"/>
          <c:w val="1"/>
          <c:h val="0.994478547324441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E4-4782-92B7-A18DA4FE14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E4-4782-92B7-A18DA4FE14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'[2]Personal net worth'!$T$1:$T$2</c:f>
              <c:strCache>
                <c:ptCount val="2"/>
                <c:pt idx="0">
                  <c:v>Total Assets</c:v>
                </c:pt>
                <c:pt idx="1">
                  <c:v>Total Debts</c:v>
                </c:pt>
              </c:strCache>
            </c:strRef>
          </c:cat>
          <c:val>
            <c:numRef>
              <c:f>'[2]Personal net worth'!$U$1:$U$2</c:f>
              <c:numCache>
                <c:formatCode>General</c:formatCode>
                <c:ptCount val="2"/>
                <c:pt idx="0">
                  <c:v>1837508</c:v>
                </c:pt>
                <c:pt idx="1">
                  <c:v>652500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4-4782-92B7-A18DA4FE1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5321912"/>
        <c:axId val="335319944"/>
      </c:barChart>
      <c:catAx>
        <c:axId val="335321912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335319944"/>
        <c:crosses val="autoZero"/>
        <c:auto val="1"/>
        <c:lblAlgn val="ctr"/>
        <c:lblOffset val="100"/>
        <c:noMultiLvlLbl val="0"/>
      </c:catAx>
      <c:valAx>
        <c:axId val="33531994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35321912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20000"/>
          <a:lumOff val="80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88900</xdr:rowOff>
    </xdr:from>
    <xdr:to>
      <xdr:col>0</xdr:col>
      <xdr:colOff>3136900</xdr:colOff>
      <xdr:row>5</xdr:row>
      <xdr:rowOff>165100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1D375AC-22CC-4AB8-BB82-C45ED8B98AEF}"/>
            </a:ext>
          </a:extLst>
        </xdr:cNvPr>
        <xdr:cNvSpPr/>
      </xdr:nvSpPr>
      <xdr:spPr>
        <a:xfrm>
          <a:off x="114300" y="342900"/>
          <a:ext cx="3022600" cy="1409700"/>
        </a:xfrm>
        <a:prstGeom prst="roundRect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1" i="0" u="none" strike="noStrike">
            <a:solidFill>
              <a:schemeClr val="dk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215900</xdr:colOff>
      <xdr:row>1</xdr:row>
      <xdr:rowOff>139700</xdr:rowOff>
    </xdr:from>
    <xdr:to>
      <xdr:col>0</xdr:col>
      <xdr:colOff>2882900</xdr:colOff>
      <xdr:row>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8FA5FC8-D482-AF24-B52B-F1C28C793B06}"/>
            </a:ext>
          </a:extLst>
        </xdr:cNvPr>
        <xdr:cNvSpPr txBox="1"/>
      </xdr:nvSpPr>
      <xdr:spPr>
        <a:xfrm>
          <a:off x="215900" y="393700"/>
          <a:ext cx="2667000" cy="520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Invested</a:t>
          </a:r>
          <a:endParaRPr lang="en-US" sz="2400" b="1" i="0" u="none" strike="noStrike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6</xdr:col>
      <xdr:colOff>393701</xdr:colOff>
      <xdr:row>1</xdr:row>
      <xdr:rowOff>190500</xdr:rowOff>
    </xdr:from>
    <xdr:to>
      <xdr:col>6</xdr:col>
      <xdr:colOff>3632201</xdr:colOff>
      <xdr:row>3</xdr:row>
      <xdr:rowOff>127000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208261-A785-3043-BF3B-B521F1E11CCA}"/>
            </a:ext>
          </a:extLst>
        </xdr:cNvPr>
        <xdr:cNvSpPr txBox="1"/>
      </xdr:nvSpPr>
      <xdr:spPr>
        <a:xfrm>
          <a:off x="3594101" y="444500"/>
          <a:ext cx="323850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Debt</a:t>
          </a:r>
          <a:endParaRPr lang="en-US" sz="2400" b="1" i="0" u="none" strike="noStrike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6</xdr:col>
      <xdr:colOff>254000</xdr:colOff>
      <xdr:row>1</xdr:row>
      <xdr:rowOff>165100</xdr:rowOff>
    </xdr:from>
    <xdr:to>
      <xdr:col>7</xdr:col>
      <xdr:colOff>203200</xdr:colOff>
      <xdr:row>5</xdr:row>
      <xdr:rowOff>165100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6321D215-5E2B-314A-BAF0-4564F5766C64}"/>
            </a:ext>
          </a:extLst>
        </xdr:cNvPr>
        <xdr:cNvSpPr/>
      </xdr:nvSpPr>
      <xdr:spPr>
        <a:xfrm>
          <a:off x="3454400" y="419100"/>
          <a:ext cx="3479800" cy="1333500"/>
        </a:xfrm>
        <a:prstGeom prst="roundRect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1" i="0" u="none" strike="noStrike">
            <a:solidFill>
              <a:schemeClr val="dk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660400</xdr:colOff>
      <xdr:row>1</xdr:row>
      <xdr:rowOff>50800</xdr:rowOff>
    </xdr:from>
    <xdr:to>
      <xdr:col>5</xdr:col>
      <xdr:colOff>101600</xdr:colOff>
      <xdr:row>5</xdr:row>
      <xdr:rowOff>114300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4270D41E-C1EF-3445-9173-D416BABAACA1}"/>
            </a:ext>
          </a:extLst>
        </xdr:cNvPr>
        <xdr:cNvSpPr/>
      </xdr:nvSpPr>
      <xdr:spPr>
        <a:xfrm>
          <a:off x="7708900" y="304800"/>
          <a:ext cx="3556000" cy="1397000"/>
        </a:xfrm>
        <a:prstGeom prst="roundRect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1" i="0" u="none" strike="noStrike">
            <a:solidFill>
              <a:schemeClr val="dk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787400</xdr:colOff>
      <xdr:row>1</xdr:row>
      <xdr:rowOff>152400</xdr:rowOff>
    </xdr:from>
    <xdr:to>
      <xdr:col>5</xdr:col>
      <xdr:colOff>50800</xdr:colOff>
      <xdr:row>3</xdr:row>
      <xdr:rowOff>101600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50AEA8-4697-1F43-ABA2-1D2E137FFCBD}"/>
            </a:ext>
          </a:extLst>
        </xdr:cNvPr>
        <xdr:cNvSpPr txBox="1"/>
      </xdr:nvSpPr>
      <xdr:spPr>
        <a:xfrm>
          <a:off x="7835900" y="406400"/>
          <a:ext cx="337820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Monthly</a:t>
          </a:r>
          <a:r>
            <a:rPr lang="en-US" sz="2400" b="1" i="0" u="none" strike="noStrike" baseline="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Expenses</a:t>
          </a:r>
          <a:endParaRPr lang="en-US" sz="2400" b="1" i="0" u="none" strike="noStrike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6</xdr:col>
      <xdr:colOff>152400</xdr:colOff>
      <xdr:row>121</xdr:row>
      <xdr:rowOff>203200</xdr:rowOff>
    </xdr:from>
    <xdr:to>
      <xdr:col>13</xdr:col>
      <xdr:colOff>1183923</xdr:colOff>
      <xdr:row>145</xdr:row>
      <xdr:rowOff>2822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85E809-A2D7-7D4C-A4C3-E75B2A32F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660400</xdr:colOff>
      <xdr:row>1</xdr:row>
      <xdr:rowOff>50800</xdr:rowOff>
    </xdr:from>
    <xdr:to>
      <xdr:col>11</xdr:col>
      <xdr:colOff>101600</xdr:colOff>
      <xdr:row>5</xdr:row>
      <xdr:rowOff>114300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C3562-3621-F841-A546-577BC1F5CB0E}"/>
            </a:ext>
          </a:extLst>
        </xdr:cNvPr>
        <xdr:cNvSpPr/>
      </xdr:nvSpPr>
      <xdr:spPr>
        <a:xfrm>
          <a:off x="7708900" y="304800"/>
          <a:ext cx="3556000" cy="1397000"/>
        </a:xfrm>
        <a:prstGeom prst="roundRect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1" i="0" u="none" strike="noStrike">
            <a:solidFill>
              <a:schemeClr val="dk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8</xdr:col>
      <xdr:colOff>787400</xdr:colOff>
      <xdr:row>1</xdr:row>
      <xdr:rowOff>152400</xdr:rowOff>
    </xdr:from>
    <xdr:to>
      <xdr:col>11</xdr:col>
      <xdr:colOff>50800</xdr:colOff>
      <xdr:row>3</xdr:row>
      <xdr:rowOff>101600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D58A5DA-1A8D-9B4E-A81E-D8F3F7EFFAA5}"/>
            </a:ext>
          </a:extLst>
        </xdr:cNvPr>
        <xdr:cNvSpPr txBox="1"/>
      </xdr:nvSpPr>
      <xdr:spPr>
        <a:xfrm>
          <a:off x="7835900" y="406400"/>
          <a:ext cx="337820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Monthly</a:t>
          </a:r>
          <a:r>
            <a:rPr lang="en-US" sz="2400" b="1" i="0" u="none" strike="noStrike" baseline="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Expenses</a:t>
          </a:r>
          <a:endParaRPr lang="en-US" sz="2400" b="1" i="0" u="none" strike="noStrike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546100</xdr:colOff>
      <xdr:row>54</xdr:row>
      <xdr:rowOff>139700</xdr:rowOff>
    </xdr:from>
    <xdr:to>
      <xdr:col>15</xdr:col>
      <xdr:colOff>330200</xdr:colOff>
      <xdr:row>72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E16F3-0A0E-274C-BDD9-24661A83F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647700</xdr:colOff>
      <xdr:row>51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79D53A-C4A9-E941-A13A-6CFD80B75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437444</xdr:colOff>
      <xdr:row>89</xdr:row>
      <xdr:rowOff>141111</xdr:rowOff>
    </xdr:from>
    <xdr:to>
      <xdr:col>11</xdr:col>
      <xdr:colOff>112889</xdr:colOff>
      <xdr:row>128</xdr:row>
      <xdr:rowOff>42333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6C997A-8A4B-F34D-F9BF-0698E87FB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162278</xdr:colOff>
      <xdr:row>84</xdr:row>
      <xdr:rowOff>124178</xdr:rowOff>
    </xdr:from>
    <xdr:to>
      <xdr:col>21</xdr:col>
      <xdr:colOff>670278</xdr:colOff>
      <xdr:row>100</xdr:row>
      <xdr:rowOff>158044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0A540D-3443-0077-95F2-5DD8A84D9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228600</xdr:rowOff>
    </xdr:from>
    <xdr:to>
      <xdr:col>0</xdr:col>
      <xdr:colOff>2447925</xdr:colOff>
      <xdr:row>4</xdr:row>
      <xdr:rowOff>57150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B1905048-BB7A-326F-2910-A29F6CDB8CEB}"/>
            </a:ext>
          </a:extLst>
        </xdr:cNvPr>
        <xdr:cNvSpPr/>
      </xdr:nvSpPr>
      <xdr:spPr>
        <a:xfrm>
          <a:off x="38100" y="228600"/>
          <a:ext cx="2409825" cy="819150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1" i="0" u="none" strike="noStrike">
            <a:solidFill>
              <a:schemeClr val="dk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9</xdr:col>
      <xdr:colOff>409575</xdr:colOff>
      <xdr:row>0</xdr:row>
      <xdr:rowOff>228600</xdr:rowOff>
    </xdr:from>
    <xdr:to>
      <xdr:col>12</xdr:col>
      <xdr:colOff>38100</xdr:colOff>
      <xdr:row>5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46F0D7-A7AC-3413-900D-4DC398BFCC26}"/>
            </a:ext>
            <a:ext uri="{147F2762-F138-4A5C-976F-8EAC2B608ADB}">
              <a16:predDERef xmlns:a16="http://schemas.microsoft.com/office/drawing/2014/main" pred="{B1905048-BB7A-326F-2910-A29F6CDB8CEB}"/>
            </a:ext>
          </a:extLst>
        </xdr:cNvPr>
        <xdr:cNvSpPr/>
      </xdr:nvSpPr>
      <xdr:spPr>
        <a:xfrm>
          <a:off x="4276725" y="228600"/>
          <a:ext cx="3257550" cy="11049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419100</xdr:colOff>
      <xdr:row>1</xdr:row>
      <xdr:rowOff>9525</xdr:rowOff>
    </xdr:from>
    <xdr:to>
      <xdr:col>12</xdr:col>
      <xdr:colOff>19050</xdr:colOff>
      <xdr:row>2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3B7F20-89DB-C58E-DBE8-7EA94BD23DD0}"/>
            </a:ext>
            <a:ext uri="{147F2762-F138-4A5C-976F-8EAC2B608ADB}">
              <a16:predDERef xmlns:a16="http://schemas.microsoft.com/office/drawing/2014/main" pred="{CC46F0D7-A7AC-3413-900D-4DC398BFCC26}"/>
            </a:ext>
          </a:extLst>
        </xdr:cNvPr>
        <xdr:cNvSpPr txBox="1"/>
      </xdr:nvSpPr>
      <xdr:spPr>
        <a:xfrm>
          <a:off x="4286250" y="257175"/>
          <a:ext cx="3228975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Debt</a:t>
          </a:r>
        </a:p>
      </xdr:txBody>
    </xdr:sp>
    <xdr:clientData/>
  </xdr:twoCellAnchor>
  <xdr:twoCellAnchor>
    <xdr:from>
      <xdr:col>9</xdr:col>
      <xdr:colOff>447675</xdr:colOff>
      <xdr:row>3</xdr:row>
      <xdr:rowOff>47625</xdr:rowOff>
    </xdr:from>
    <xdr:to>
      <xdr:col>12</xdr:col>
      <xdr:colOff>47625</xdr:colOff>
      <xdr:row>4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7DCCFE-4A3D-4134-ABAD-60447E0EED85}"/>
            </a:ext>
            <a:ext uri="{147F2762-F138-4A5C-976F-8EAC2B608ADB}">
              <a16:predDERef xmlns:a16="http://schemas.microsoft.com/office/drawing/2014/main" pred="{ED3B7F20-89DB-C58E-DBE8-7EA94BD23DD0}"/>
            </a:ext>
          </a:extLst>
        </xdr:cNvPr>
        <xdr:cNvSpPr txBox="1"/>
      </xdr:nvSpPr>
      <xdr:spPr>
        <a:xfrm>
          <a:off x="4314825" y="790575"/>
          <a:ext cx="3228975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2400" b="1" i="0" u="none" strike="noStrike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50800</xdr:rowOff>
    </xdr:from>
    <xdr:to>
      <xdr:col>3</xdr:col>
      <xdr:colOff>514350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FC7E28-05E0-7C45-786A-69A4825CC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76200</xdr:rowOff>
    </xdr:from>
    <xdr:to>
      <xdr:col>3</xdr:col>
      <xdr:colOff>495300</xdr:colOff>
      <xdr:row>56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A1ABBE-637A-53E2-B591-D149523A8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177800</xdr:colOff>
      <xdr:row>0</xdr:row>
      <xdr:rowOff>12700</xdr:rowOff>
    </xdr:from>
    <xdr:to>
      <xdr:col>19</xdr:col>
      <xdr:colOff>101600</xdr:colOff>
      <xdr:row>37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F68567-4452-A7B5-25A3-53FA129C7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9</xdr:row>
      <xdr:rowOff>88900</xdr:rowOff>
    </xdr:from>
    <xdr:to>
      <xdr:col>6</xdr:col>
      <xdr:colOff>0</xdr:colOff>
      <xdr:row>19</xdr:row>
      <xdr:rowOff>50800</xdr:rowOff>
    </xdr:to>
    <xdr:graphicFrame macro="">
      <xdr:nvGraphicFramePr>
        <xdr:cNvPr id="2" name="Chart 1" descr="Summary of assets chart">
          <a:extLst>
            <a:ext uri="{FF2B5EF4-FFF2-40B4-BE49-F238E27FC236}">
              <a16:creationId xmlns:a16="http://schemas.microsoft.com/office/drawing/2014/main" id="{7CF3307D-1E44-462C-BDD3-B7AD8159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32490</xdr:colOff>
      <xdr:row>2</xdr:row>
      <xdr:rowOff>596900</xdr:rowOff>
    </xdr:from>
    <xdr:to>
      <xdr:col>9</xdr:col>
      <xdr:colOff>673100</xdr:colOff>
      <xdr:row>7</xdr:row>
      <xdr:rowOff>139700</xdr:rowOff>
    </xdr:to>
    <xdr:graphicFrame macro="">
      <xdr:nvGraphicFramePr>
        <xdr:cNvPr id="3" name="Chart 2" descr="Personal net worth chart">
          <a:extLst>
            <a:ext uri="{FF2B5EF4-FFF2-40B4-BE49-F238E27FC236}">
              <a16:creationId xmlns:a16="http://schemas.microsoft.com/office/drawing/2014/main" id="{5B44CFB6-5B87-42BC-A80E-07684195D7E3}"/>
            </a:ext>
            <a:ext uri="{147F2762-F138-4A5C-976F-8EAC2B608ADB}">
              <a16:predDERef xmlns:a16="http://schemas.microsoft.com/office/drawing/2014/main" pred="{7CF3307D-1E44-462C-BDD3-B7AD8159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228600</xdr:rowOff>
    </xdr:from>
    <xdr:to>
      <xdr:col>0</xdr:col>
      <xdr:colOff>2447925</xdr:colOff>
      <xdr:row>4</xdr:row>
      <xdr:rowOff>57150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181557B-341F-7345-A96C-1063B9B4648A}"/>
            </a:ext>
          </a:extLst>
        </xdr:cNvPr>
        <xdr:cNvSpPr/>
      </xdr:nvSpPr>
      <xdr:spPr>
        <a:xfrm>
          <a:off x="38100" y="228600"/>
          <a:ext cx="2409825" cy="844550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1" i="0" u="none" strike="noStrike">
            <a:solidFill>
              <a:schemeClr val="dk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4</xdr:col>
      <xdr:colOff>320675</xdr:colOff>
      <xdr:row>0</xdr:row>
      <xdr:rowOff>152400</xdr:rowOff>
    </xdr:from>
    <xdr:to>
      <xdr:col>6</xdr:col>
      <xdr:colOff>1155700</xdr:colOff>
      <xdr:row>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1468FD-F6FE-2B43-AA34-9BAB1898B7F8}"/>
            </a:ext>
            <a:ext uri="{147F2762-F138-4A5C-976F-8EAC2B608ADB}">
              <a16:predDERef xmlns:a16="http://schemas.microsoft.com/office/drawing/2014/main" pred="{31D375AC-22CC-4AB8-BB82-C45ED8B98AEF}"/>
            </a:ext>
          </a:extLst>
        </xdr:cNvPr>
        <xdr:cNvSpPr/>
      </xdr:nvSpPr>
      <xdr:spPr>
        <a:xfrm>
          <a:off x="7102475" y="152400"/>
          <a:ext cx="3248025" cy="113665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393700</xdr:colOff>
      <xdr:row>1</xdr:row>
      <xdr:rowOff>9525</xdr:rowOff>
    </xdr:from>
    <xdr:to>
      <xdr:col>6</xdr:col>
      <xdr:colOff>1066800</xdr:colOff>
      <xdr:row>2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07A89F-E596-1746-8739-9916E260AD6C}"/>
            </a:ext>
            <a:ext uri="{147F2762-F138-4A5C-976F-8EAC2B608ADB}">
              <a16:predDERef xmlns:a16="http://schemas.microsoft.com/office/drawing/2014/main" pred="{0E7AEF79-EB37-45BC-82D6-6A31783C53BF}"/>
            </a:ext>
          </a:extLst>
        </xdr:cNvPr>
        <xdr:cNvSpPr txBox="1"/>
      </xdr:nvSpPr>
      <xdr:spPr>
        <a:xfrm>
          <a:off x="7175500" y="263525"/>
          <a:ext cx="3086100" cy="368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Debt</a:t>
          </a:r>
        </a:p>
      </xdr:txBody>
    </xdr:sp>
    <xdr:clientData/>
  </xdr:twoCellAnchor>
  <xdr:twoCellAnchor>
    <xdr:from>
      <xdr:col>4</xdr:col>
      <xdr:colOff>406401</xdr:colOff>
      <xdr:row>3</xdr:row>
      <xdr:rowOff>47625</xdr:rowOff>
    </xdr:from>
    <xdr:to>
      <xdr:col>6</xdr:col>
      <xdr:colOff>850901</xdr:colOff>
      <xdr:row>4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3FD8DA-12AB-E74B-B69C-3FBA6995C5B2}"/>
            </a:ext>
            <a:ext uri="{147F2762-F138-4A5C-976F-8EAC2B608ADB}">
              <a16:predDERef xmlns:a16="http://schemas.microsoft.com/office/drawing/2014/main" pred="{381EF4EC-22FF-43B2-B00D-230F1ECE86E0}"/>
            </a:ext>
          </a:extLst>
        </xdr:cNvPr>
        <xdr:cNvSpPr txBox="1"/>
      </xdr:nvSpPr>
      <xdr:spPr>
        <a:xfrm>
          <a:off x="7188201" y="809625"/>
          <a:ext cx="2857500" cy="368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2400" b="1" i="0" u="none" strike="noStrike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3C486A4D681102/Book%2035.xlsx" TargetMode="External"/><Relationship Id="rId1" Type="http://schemas.openxmlformats.org/officeDocument/2006/relationships/externalLinkPath" Target="https://d.docs.live.net/D93C486A4D681102/Book%203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3C486A4D681102/Book%2030.xlsx" TargetMode="External"/><Relationship Id="rId1" Type="http://schemas.openxmlformats.org/officeDocument/2006/relationships/externalLinkPath" Target="https://d.docs.live.net/D93C486A4D681102/Book%20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D93C486A4D681102" itemId="D93C486A4D681102!s3f83468f4a704035b1be5e534c82257e">
      <xxl21:absoluteUrl r:id="rId2"/>
    </xxl21:alternateUrls>
    <sheetNames>
      <sheetName val="Start"/>
      <sheetName val="Budget wheel"/>
      <sheetName val="Data"/>
    </sheetNames>
    <sheetDataSet>
      <sheetData sheetId="0"/>
      <sheetData sheetId="1"/>
      <sheetData sheetId="2">
        <row r="3">
          <cell r="E3">
            <v>2577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D93C486A4D681102" itemId="D93C486A4D681102!s929ae7a81dc14dddacbda8e59774b5dc">
      <xxl21:absoluteUrl r:id="rId2"/>
    </xxl21:alternateUrls>
    <sheetNames>
      <sheetName val="Personal net worth"/>
      <sheetName val="Assets"/>
      <sheetName val="Debt"/>
    </sheetNames>
    <sheetDataSet>
      <sheetData sheetId="0">
        <row r="1">
          <cell r="M1" t="str">
            <v>Cash and Cash Equivalent</v>
          </cell>
          <cell r="Q1" t="str">
            <v>Cash and Cash Equivalent</v>
          </cell>
          <cell r="R1">
            <v>42500</v>
          </cell>
          <cell r="T1" t="str">
            <v>Total Assets</v>
          </cell>
          <cell r="U1">
            <v>1837508</v>
          </cell>
        </row>
        <row r="2">
          <cell r="M2" t="str">
            <v>Properties</v>
          </cell>
          <cell r="Q2" t="str">
            <v>Retirement Savings</v>
          </cell>
          <cell r="R2">
            <v>98000</v>
          </cell>
          <cell r="T2" t="str">
            <v>Total Debts</v>
          </cell>
          <cell r="U2">
            <v>652500</v>
          </cell>
        </row>
        <row r="3">
          <cell r="M3" t="str">
            <v>Investments</v>
          </cell>
          <cell r="Q3" t="str">
            <v>Life Insurance</v>
          </cell>
          <cell r="R3">
            <v>103000</v>
          </cell>
        </row>
        <row r="4">
          <cell r="M4" t="str">
            <v>Retirement Savings</v>
          </cell>
          <cell r="Q4" t="str">
            <v>Investments</v>
          </cell>
          <cell r="R4">
            <v>389008</v>
          </cell>
        </row>
        <row r="5">
          <cell r="M5" t="str">
            <v>Life Insurance</v>
          </cell>
          <cell r="Q5" t="str">
            <v>Properties</v>
          </cell>
          <cell r="R5">
            <v>1205000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 Kumar Reddy Palampalli" refreshedDate="46071.834970023148" createdVersion="8" refreshedVersion="8" minRefreshableVersion="3" recordCount="9" xr:uid="{0B1EC771-9D87-4747-842F-AF25E2BC5A13}">
  <cacheSource type="worksheet">
    <worksheetSource name="tblRecreation3546"/>
  </cacheSource>
  <cacheFields count="17">
    <cacheField name="Investment" numFmtId="0">
      <sharedItems count="9">
        <s v="Robinhood"/>
        <s v="Fidelity"/>
        <s v="Angel One"/>
        <s v="Coin by Zerodha MF"/>
        <s v="Zerodha"/>
        <s v="Grow"/>
        <s v="Coinbase"/>
        <s v="Coin DCX"/>
        <s v="Wazirx"/>
      </sharedItems>
    </cacheField>
    <cacheField name="JAN" numFmtId="164">
      <sharedItems containsNonDate="0" containsString="0" containsBlank="1"/>
    </cacheField>
    <cacheField name="FEB" numFmtId="164">
      <sharedItems containsNonDate="0" containsString="0" containsBlank="1"/>
    </cacheField>
    <cacheField name="MAR" numFmtId="164">
      <sharedItems containsNonDate="0" containsString="0" containsBlank="1"/>
    </cacheField>
    <cacheField name="APR" numFmtId="164">
      <sharedItems containsNonDate="0" containsString="0" containsBlank="1"/>
    </cacheField>
    <cacheField name="MAY" numFmtId="164">
      <sharedItems containsNonDate="0" containsString="0" containsBlank="1"/>
    </cacheField>
    <cacheField name="JUN" numFmtId="164">
      <sharedItems containsNonDate="0" containsString="0" containsBlank="1"/>
    </cacheField>
    <cacheField name="JUL" numFmtId="164">
      <sharedItems containsNonDate="0" containsString="0" containsBlank="1"/>
    </cacheField>
    <cacheField name="AUG" numFmtId="164">
      <sharedItems containsNonDate="0" containsString="0" containsBlank="1"/>
    </cacheField>
    <cacheField name="SEP" numFmtId="164">
      <sharedItems containsNonDate="0" containsString="0" containsBlank="1"/>
    </cacheField>
    <cacheField name="OCT" numFmtId="164">
      <sharedItems containsNonDate="0" containsString="0" containsBlank="1"/>
    </cacheField>
    <cacheField name="NOV" numFmtId="164">
      <sharedItems containsNonDate="0" containsString="0" containsBlank="1"/>
    </cacheField>
    <cacheField name="DEC" numFmtId="164">
      <sharedItems containsNonDate="0" containsString="0" containsBlank="1"/>
    </cacheField>
    <cacheField name="Current Value" numFmtId="164">
      <sharedItems containsNonDate="0" containsString="0" containsBlank="1"/>
    </cacheField>
    <cacheField name="Invested Total" numFmtId="164">
      <sharedItems containsSemiMixedTypes="0" containsString="0" containsNumber="1" containsInteger="1" minValue="0" maxValue="3092" count="7">
        <n v="2733"/>
        <n v="1381"/>
        <n v="3092"/>
        <n v="155"/>
        <n v="1079"/>
        <n v="42"/>
        <n v="0"/>
      </sharedItems>
    </cacheField>
    <cacheField name="YEAR" numFmtId="164">
      <sharedItems containsSemiMixedTypes="0" containsString="0" containsNumber="1" containsInteger="1" minValue="0" maxValue="0"/>
    </cacheField>
    <cacheField name="Last Updated on" numFmtId="0">
      <sharedItems containsNonDate="0" containsDate="1" containsString="0" containsBlank="1" minDate="2026-02-18T00:00:00" maxDate="2026-02-1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m/>
    <m/>
    <m/>
    <m/>
    <m/>
    <m/>
    <m/>
    <m/>
    <m/>
    <m/>
    <m/>
    <m/>
    <m/>
    <x v="0"/>
    <n v="0"/>
    <d v="2026-02-18T00:00:00"/>
  </r>
  <r>
    <x v="1"/>
    <m/>
    <m/>
    <m/>
    <m/>
    <m/>
    <m/>
    <m/>
    <m/>
    <m/>
    <m/>
    <m/>
    <m/>
    <m/>
    <x v="1"/>
    <n v="0"/>
    <m/>
  </r>
  <r>
    <x v="2"/>
    <m/>
    <m/>
    <m/>
    <m/>
    <m/>
    <m/>
    <m/>
    <m/>
    <m/>
    <m/>
    <m/>
    <m/>
    <m/>
    <x v="2"/>
    <n v="0"/>
    <m/>
  </r>
  <r>
    <x v="3"/>
    <m/>
    <m/>
    <m/>
    <m/>
    <m/>
    <m/>
    <m/>
    <m/>
    <m/>
    <m/>
    <m/>
    <m/>
    <m/>
    <x v="3"/>
    <n v="0"/>
    <m/>
  </r>
  <r>
    <x v="4"/>
    <m/>
    <m/>
    <m/>
    <m/>
    <m/>
    <m/>
    <m/>
    <m/>
    <m/>
    <m/>
    <m/>
    <m/>
    <m/>
    <x v="3"/>
    <n v="0"/>
    <m/>
  </r>
  <r>
    <x v="5"/>
    <m/>
    <m/>
    <m/>
    <m/>
    <m/>
    <m/>
    <m/>
    <m/>
    <m/>
    <m/>
    <m/>
    <m/>
    <m/>
    <x v="4"/>
    <n v="0"/>
    <m/>
  </r>
  <r>
    <x v="6"/>
    <m/>
    <m/>
    <m/>
    <m/>
    <m/>
    <m/>
    <m/>
    <m/>
    <m/>
    <m/>
    <m/>
    <m/>
    <m/>
    <x v="5"/>
    <n v="0"/>
    <m/>
  </r>
  <r>
    <x v="7"/>
    <m/>
    <m/>
    <m/>
    <m/>
    <m/>
    <m/>
    <m/>
    <m/>
    <m/>
    <m/>
    <m/>
    <m/>
    <m/>
    <x v="6"/>
    <n v="0"/>
    <m/>
  </r>
  <r>
    <x v="8"/>
    <m/>
    <m/>
    <m/>
    <m/>
    <m/>
    <m/>
    <m/>
    <m/>
    <m/>
    <m/>
    <m/>
    <m/>
    <m/>
    <x v="6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3207B-B667-904D-A742-20B9037E867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4" firstHeaderRow="1" firstDataRow="2" firstDataCol="1"/>
  <pivotFields count="17">
    <pivotField axis="axisRow" showAll="0">
      <items count="10">
        <item x="2"/>
        <item x="3"/>
        <item x="7"/>
        <item x="6"/>
        <item x="1"/>
        <item x="5"/>
        <item x="0"/>
        <item x="8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numFmtId="164" showAll="0">
      <items count="8">
        <item x="6"/>
        <item x="5"/>
        <item x="3"/>
        <item x="4"/>
        <item x="1"/>
        <item x="0"/>
        <item x="2"/>
        <item t="default"/>
      </items>
    </pivotField>
    <pivotField numFmtId="164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J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EF92E59-DE44-4675-B117-C3DE423987E3}" name="tblIncome2833" displayName="tblIncome2833" ref="A8:P13" totalsRowCount="1" headerRowDxfId="1181" dataDxfId="1180" totalsRowDxfId="1179">
  <tableColumns count="16">
    <tableColumn id="1" xr3:uid="{CD49F800-7AC5-4B2A-812A-C73F641709C2}" name="INCOME" totalsRowLabel="Total" dataDxfId="207" totalsRowDxfId="187"/>
    <tableColumn id="2" xr3:uid="{D1EB878C-7373-49EE-8B8B-293E98AB3F17}" name="JAN" totalsRowFunction="sum" dataDxfId="206" totalsRowDxfId="186"/>
    <tableColumn id="3" xr3:uid="{E5F0B911-4ACE-4D0D-9FE4-261AACB08717}" name="FEB" totalsRowFunction="sum" dataDxfId="205" totalsRowDxfId="185"/>
    <tableColumn id="4" xr3:uid="{A1652608-0A53-4937-8A6A-6302F443F1DE}" name="MAR" totalsRowFunction="sum" dataDxfId="204" totalsRowDxfId="184"/>
    <tableColumn id="5" xr3:uid="{8F6A4982-C890-4196-A007-58E34D81C8C0}" name="APR" totalsRowFunction="sum" dataDxfId="203" totalsRowDxfId="183"/>
    <tableColumn id="6" xr3:uid="{518CD4C6-E364-4A84-95A0-F38D25C8FE5E}" name="MAY" totalsRowFunction="sum" dataDxfId="202" totalsRowDxfId="182"/>
    <tableColumn id="7" xr3:uid="{2D2F392B-621A-462C-9558-9713EC341C18}" name="JUN" totalsRowFunction="sum" dataDxfId="201" totalsRowDxfId="181">
      <calculatedColumnFormula>30.16+2986.83</calculatedColumnFormula>
    </tableColumn>
    <tableColumn id="8" xr3:uid="{E29449EA-1C93-4D7C-9FA8-8D5389A01AE0}" name="JUL" totalsRowFunction="sum" dataDxfId="200" totalsRowDxfId="180"/>
    <tableColumn id="9" xr3:uid="{0FBF8BAB-9B0D-4DFD-93C7-EDFE5A4B037F}" name="AUG" totalsRowFunction="sum" dataDxfId="199" totalsRowDxfId="179"/>
    <tableColumn id="10" xr3:uid="{0590FD67-366D-411F-8F2A-BCA0E55314EA}" name="SEP" totalsRowFunction="sum" dataDxfId="198" totalsRowDxfId="178"/>
    <tableColumn id="11" xr3:uid="{30516B7B-D29F-4408-880D-C8BD2866FE53}" name="OCT" totalsRowFunction="sum" dataDxfId="197" totalsRowDxfId="177"/>
    <tableColumn id="12" xr3:uid="{A566FBB4-A220-41CD-994C-545011609FBD}" name="NOV" totalsRowFunction="sum" dataDxfId="196" totalsRowDxfId="176"/>
    <tableColumn id="13" xr3:uid="{A93BB8B9-15BF-4263-9727-75201279B39F}" name="DEC" totalsRowFunction="sum" dataDxfId="195" totalsRowDxfId="175"/>
    <tableColumn id="14" xr3:uid="{9DC950FC-024B-47F4-9CAD-B21A9AC21DED}" name="YEAR" totalsRowFunction="sum" dataDxfId="194" totalsRowDxfId="174">
      <calculatedColumnFormula>SUM(tblIncome2833[[#This Row],[JAN]:[DEC]])</calculatedColumnFormula>
    </tableColumn>
    <tableColumn id="15" xr3:uid="{0E0C451E-5BF5-4321-A935-D706FFE53EAD}" name="Last Updated on" dataDxfId="193" totalsRowDxfId="173"/>
    <tableColumn id="16" xr3:uid="{76B63F3E-3F34-D14C-B403-3FB96D88E50F}" name="Column1" dataDxfId="192" totalsRowDxfId="172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Income" altTextSummary="Enter your income for the year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745B02F-FCC6-41E2-A136-117BE99AF76C}" name="tblHome2941" displayName="tblHome2941" ref="A16:O22" totalsRowCount="1" headerRowDxfId="1178" dataDxfId="1177" totalsRowDxfId="1176">
  <tableColumns count="15">
    <tableColumn id="1" xr3:uid="{1B73B27F-3AA3-421F-B6E9-A5FD1C93D145}" name="HOME" totalsRowLabel="Total" dataDxfId="1175" totalsRowDxfId="171"/>
    <tableColumn id="2" xr3:uid="{07D0C808-CCCF-4E67-9FA6-55D2F6F99960}" name="JAN" totalsRowFunction="sum" dataDxfId="1174" totalsRowDxfId="170"/>
    <tableColumn id="3" xr3:uid="{6F7AEB70-A362-4C36-8226-AE080E2A438B}" name="FEB" totalsRowFunction="sum" dataDxfId="1173" totalsRowDxfId="169"/>
    <tableColumn id="4" xr3:uid="{2FF20E8C-51A7-4F84-B16E-E95408B1F9C5}" name="MAR" totalsRowFunction="sum" dataDxfId="1172" totalsRowDxfId="168"/>
    <tableColumn id="5" xr3:uid="{3E5D1CD3-7ABE-4D48-9187-67D262AAC6BB}" name="APR" totalsRowFunction="sum" dataDxfId="1171" totalsRowDxfId="167"/>
    <tableColumn id="6" xr3:uid="{B1A4C017-B8EA-4611-BD16-D1EE0FA8257E}" name="MAY" totalsRowFunction="sum" dataDxfId="1170" totalsRowDxfId="166"/>
    <tableColumn id="7" xr3:uid="{B370E2A5-ED04-47EE-A1A0-6583660493CB}" name="JUN" totalsRowFunction="sum" dataDxfId="1169" totalsRowDxfId="165"/>
    <tableColumn id="8" xr3:uid="{E00EDE09-E27E-4F8B-8A4F-F5E5B387C603}" name="JUL" totalsRowFunction="sum" dataDxfId="1168" totalsRowDxfId="164"/>
    <tableColumn id="9" xr3:uid="{83EC9DF0-5C1D-4A9B-A317-A60DC615D82C}" name="AUG" totalsRowFunction="sum" dataDxfId="1167" totalsRowDxfId="163"/>
    <tableColumn id="10" xr3:uid="{7106F26D-AA47-4E89-A783-547CE96F8F8D}" name="SEP" totalsRowFunction="sum" dataDxfId="1166" totalsRowDxfId="162"/>
    <tableColumn id="11" xr3:uid="{B1698DC1-5ED1-4989-8B34-D7A69740BFEB}" name="OCT" totalsRowFunction="sum" dataDxfId="1165" totalsRowDxfId="161"/>
    <tableColumn id="12" xr3:uid="{D68B4D39-22DC-4A96-A173-AB4BD1DAB80B}" name="NOV" totalsRowFunction="sum" dataDxfId="1164" totalsRowDxfId="160"/>
    <tableColumn id="13" xr3:uid="{CE4E6805-065B-4354-B386-019630EA59F3}" name="DEC" totalsRowFunction="sum" dataDxfId="1163" totalsRowDxfId="159"/>
    <tableColumn id="14" xr3:uid="{F22437D0-1844-4D48-8140-566D91CD4AA2}" name="YEAR" totalsRowFunction="sum" dataDxfId="1162" totalsRowDxfId="158">
      <calculatedColumnFormula>SUM(tblHome2941[[#This Row],[JAN]:[DEC]])</calculatedColumnFormula>
    </tableColumn>
    <tableColumn id="15" xr3:uid="{768E3558-3A47-4ED6-90D5-5B5C9CF49314}" name="Last Updated on" dataDxfId="1161" totalsRowDxfId="157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Home Expenses" altTextSummary="Enter your home expenses for the year, separated by month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A62864D-6162-4524-90CF-760EFC308FA5}" name="tblDaily3042" displayName="tblDaily3042" ref="A24:O32" totalsRowCount="1" headerRowDxfId="1160" dataDxfId="1159" totalsRowDxfId="1158">
  <tableColumns count="15">
    <tableColumn id="1" xr3:uid="{276AEC2C-1F3F-4B1D-BFB8-1BF3FC1CBF08}" name="DAILY LIVING" totalsRowLabel="Total" dataDxfId="1157" totalsRowDxfId="156"/>
    <tableColumn id="2" xr3:uid="{DDEE2BE5-5364-4BE3-834E-278CC8A27F6E}" name="JAN" totalsRowFunction="sum" dataDxfId="1156" totalsRowDxfId="155"/>
    <tableColumn id="3" xr3:uid="{2EB39F61-570C-45EE-96E8-99350EA42B4B}" name="FEB" totalsRowFunction="sum" dataDxfId="1155" totalsRowDxfId="154"/>
    <tableColumn id="4" xr3:uid="{C5144F04-A4EB-4BFA-BBF1-04433560ABA3}" name="MAR" totalsRowFunction="sum" dataDxfId="1154" totalsRowDxfId="153"/>
    <tableColumn id="5" xr3:uid="{80258ED6-EA9E-489B-869C-C1DB12FCC6B6}" name="APR" totalsRowFunction="sum" dataDxfId="1153" totalsRowDxfId="152">
      <calculatedColumnFormula>46</calculatedColumnFormula>
    </tableColumn>
    <tableColumn id="6" xr3:uid="{C55CE118-A41C-4809-9C40-2C6AA5E21138}" name="MAY" totalsRowFunction="sum" dataDxfId="1152" totalsRowDxfId="151">
      <calculatedColumnFormula>-8.41+40.31</calculatedColumnFormula>
    </tableColumn>
    <tableColumn id="7" xr3:uid="{DC8C5C0C-269F-49D0-9250-92C633D9291F}" name="JUN" totalsRowFunction="sum" dataDxfId="1151" totalsRowDxfId="150"/>
    <tableColumn id="8" xr3:uid="{7911B3B4-90CA-471A-AFAC-19AA807196A1}" name="JUL" totalsRowFunction="sum" dataDxfId="1150" totalsRowDxfId="149"/>
    <tableColumn id="9" xr3:uid="{24493C8B-144A-4487-8332-442C108B2C0A}" name="AUG" totalsRowFunction="sum" dataDxfId="1149" totalsRowDxfId="148"/>
    <tableColumn id="10" xr3:uid="{A4C11EC4-2CF6-4E8A-9347-60DC498F9C23}" name="SEP" totalsRowFunction="sum" dataDxfId="1148" totalsRowDxfId="147"/>
    <tableColumn id="11" xr3:uid="{BED92AE7-E9D6-41E2-8295-5445BC535AC9}" name="OCT" totalsRowFunction="sum" dataDxfId="1147" totalsRowDxfId="146"/>
    <tableColumn id="12" xr3:uid="{D4CE55E5-7E41-41C9-806A-DE7ABB550D63}" name="NOV" totalsRowFunction="sum" dataDxfId="1146" totalsRowDxfId="145"/>
    <tableColumn id="13" xr3:uid="{9EBDEE86-FA39-4C31-848A-AD68A3241A15}" name="DEC" totalsRowFunction="sum" dataDxfId="1145" totalsRowDxfId="144"/>
    <tableColumn id="14" xr3:uid="{AD3D10E1-B8A4-42F4-8DB4-83895E628C80}" name="YEAR" totalsRowFunction="sum" dataDxfId="1144" totalsRowDxfId="143">
      <calculatedColumnFormula>SUM(tblDaily3042[[#This Row],[JAN]:[DEC]])</calculatedColumnFormula>
    </tableColumn>
    <tableColumn id="15" xr3:uid="{E4CC2EE9-428D-489A-8D3C-BE914233222C}" name="Last Updated on" dataDxfId="1143" totalsRowDxfId="142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Daily Living Expenses" altTextSummary="Enter your daily living expenses for the year, separated by month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AEC7C73-634A-46ED-AA4F-8B57BCCFAA1E}" name="tblTransportation3143" displayName="tblTransportation3143" ref="A34:O38" totalsRowCount="1" headerRowDxfId="1142" dataDxfId="1141" totalsRowDxfId="1140">
  <tableColumns count="15">
    <tableColumn id="1" xr3:uid="{5D149893-836F-4E61-84AC-F5CA5118F982}" name="TRANSPORTATION" totalsRowLabel="Total" dataDxfId="1139" totalsRowDxfId="141"/>
    <tableColumn id="2" xr3:uid="{5EF20F66-8189-40BE-BB91-F8B5B14AA4C5}" name="JAN" totalsRowFunction="sum" dataDxfId="1138" totalsRowDxfId="140"/>
    <tableColumn id="3" xr3:uid="{D0656164-B650-4818-A8B0-1FC242CB727B}" name="FEB" totalsRowFunction="sum" dataDxfId="1137" totalsRowDxfId="139"/>
    <tableColumn id="4" xr3:uid="{61A5F9BE-0DF2-43A7-9D19-1ED885E6BD84}" name="MAR" totalsRowFunction="sum" dataDxfId="1136" totalsRowDxfId="138"/>
    <tableColumn id="5" xr3:uid="{FEBEBE71-943D-4634-A717-DACDA60392EA}" name="APR" totalsRowFunction="sum" dataDxfId="1135" totalsRowDxfId="137">
      <calculatedColumnFormula>2.57+2.5+2.57+2.57</calculatedColumnFormula>
    </tableColumn>
    <tableColumn id="6" xr3:uid="{75ED27F6-0C53-407C-9A02-D95008EDABED}" name="MAY" totalsRowFunction="sum" dataDxfId="1134" totalsRowDxfId="136"/>
    <tableColumn id="7" xr3:uid="{C73553DC-90C5-4CEC-B2CE-1F71EB81C5CF}" name="JUN" totalsRowFunction="sum" dataDxfId="1133" totalsRowDxfId="135"/>
    <tableColumn id="8" xr3:uid="{FA7FC0AD-4119-457A-A34B-EABD11CD6431}" name="JUL" totalsRowFunction="sum" dataDxfId="189" totalsRowDxfId="134"/>
    <tableColumn id="9" xr3:uid="{2E3A2DD6-94DA-4620-AE8A-F5F61A6A862F}" name="AUG" totalsRowFunction="sum" dataDxfId="1132" totalsRowDxfId="133"/>
    <tableColumn id="10" xr3:uid="{ACE5C14E-E08B-460D-8B9E-4FC7DA852115}" name="SEP" totalsRowFunction="sum" dataDxfId="1131" totalsRowDxfId="132"/>
    <tableColumn id="11" xr3:uid="{96ACFB31-65DC-4E78-979C-AC455960EA8E}" name="OCT" totalsRowFunction="sum" dataDxfId="1130" totalsRowDxfId="131"/>
    <tableColumn id="12" xr3:uid="{764144E4-6228-411C-9B66-7F4A918AC73C}" name="NOV" totalsRowFunction="sum" dataDxfId="1129" totalsRowDxfId="130"/>
    <tableColumn id="13" xr3:uid="{8F1EAFE8-3280-4BDD-A971-7DDCF22F8C73}" name="DEC" totalsRowFunction="sum" dataDxfId="1128" totalsRowDxfId="129"/>
    <tableColumn id="14" xr3:uid="{49C4C6FF-6B30-4C86-9096-03A91615BF02}" name="YEAR" totalsRowFunction="sum" dataDxfId="1127" totalsRowDxfId="128">
      <calculatedColumnFormula>SUM(tblTransportation3143[[#This Row],[JAN]:[DEC]])</calculatedColumnFormula>
    </tableColumn>
    <tableColumn id="15" xr3:uid="{56ED3C22-DB81-4A78-AE45-05AD3A447C1C}" name="Last Updated on" dataDxfId="1126" totalsRowDxfId="127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Transportation expenses" altTextSummary="Enter your transportation expenses for the year, separated by month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DB03C4B-53DA-42A6-A443-4A294B890B14}" name="tblEntertainment3244" displayName="tblEntertainment3244" ref="A40:P47" totalsRowCount="1" headerRowDxfId="1125" dataDxfId="1124" totalsRowDxfId="1123">
  <tableColumns count="16">
    <tableColumn id="1" xr3:uid="{FBCD7765-2874-4DE4-9B16-F4E80A5204B7}" name="Credit Card" totalsRowLabel="Total" dataDxfId="1122" totalsRowDxfId="15"/>
    <tableColumn id="2" xr3:uid="{E7D6B216-AEB3-445D-B7D9-9BA1C64541AE}" name="JAN" totalsRowFunction="sum" dataDxfId="1121" totalsRowDxfId="14"/>
    <tableColumn id="3" xr3:uid="{0139C639-40BC-4F89-82FA-38EB47553D70}" name="FEB" totalsRowFunction="sum" dataDxfId="1120" totalsRowDxfId="13"/>
    <tableColumn id="4" xr3:uid="{506E8C58-5704-4024-887C-3C57AF00B88C}" name="MAR" totalsRowFunction="sum" dataDxfId="1119" totalsRowDxfId="12"/>
    <tableColumn id="5" xr3:uid="{C9102E31-DDE8-4E63-92BC-06CB27C42373}" name="APR" totalsRowFunction="sum" dataDxfId="1118" totalsRowDxfId="11"/>
    <tableColumn id="6" xr3:uid="{5332FDCD-D7AD-42FB-B2CA-D7B95A00C917}" name="MAY" totalsRowFunction="sum" dataDxfId="1117" totalsRowDxfId="10"/>
    <tableColumn id="7" xr3:uid="{44EDFA44-042B-4D78-A71F-886DC77E4638}" name="JUN" totalsRowFunction="sum" dataDxfId="1116" totalsRowDxfId="9"/>
    <tableColumn id="8" xr3:uid="{0A921241-8DAA-48D8-8077-A13E8BD4916A}" name="JUL" totalsRowFunction="sum" dataDxfId="1115" totalsRowDxfId="8"/>
    <tableColumn id="9" xr3:uid="{857E6261-B1B3-44B5-97C0-22723C196B84}" name="AUG" totalsRowFunction="sum" dataDxfId="1114" totalsRowDxfId="7"/>
    <tableColumn id="10" xr3:uid="{C4E6E604-0D15-47BF-A19A-49FD08E98B4D}" name="SEP" totalsRowFunction="sum" dataDxfId="1113" totalsRowDxfId="6"/>
    <tableColumn id="11" xr3:uid="{4214D7A8-EBB9-4BB7-9157-9EEE8FFB4B0A}" name="OCT" totalsRowFunction="sum" dataDxfId="1112" totalsRowDxfId="5"/>
    <tableColumn id="12" xr3:uid="{6D64D8C4-AEA9-4120-9187-0751E0F40CA9}" name="NOV" totalsRowFunction="sum" dataDxfId="1111" totalsRowDxfId="4"/>
    <tableColumn id="13" xr3:uid="{BC2B4A96-9ECF-449C-AB74-C0EDA2A0A7DC}" name="DEC" totalsRowFunction="sum" dataDxfId="1110" totalsRowDxfId="3"/>
    <tableColumn id="14" xr3:uid="{8D30F05D-55C1-40DC-969E-3615C4CE1E47}" name="YEAR" totalsRowFunction="sum" dataDxfId="1109" totalsRowDxfId="2">
      <calculatedColumnFormula>SUM(tblEntertainment3244[[#This Row],[JAN]:[DEC]])</calculatedColumnFormula>
    </tableColumn>
    <tableColumn id="15" xr3:uid="{9A1A948C-35EB-4893-AFC4-AD36480BBD23}" name="Last Updated on" dataDxfId="1108" totalsRowDxfId="1"/>
    <tableColumn id="16" xr3:uid="{2CF89008-BA93-4688-B952-44F91B0C205C}" name="Balance" totalsRowFunction="custom" dataDxfId="1107" totalsRowDxfId="0">
      <totalsRowFormula>SUM(tblEntertainment3244[Balance])</totalsRowFormula>
    </tableColumn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Entertainment Expenses" altTextSummary="Enter your entertainment expenses for the year, separated by month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5ABA6F9-DF85-4A7D-A3E7-B88DA6D24F9F}" name="tblVacations3445" displayName="tblVacations3445" ref="A49:O55" totalsRowCount="1" headerRowDxfId="1106" dataDxfId="1105" totalsRowDxfId="1104">
  <tableColumns count="15">
    <tableColumn id="1" xr3:uid="{38E64ED6-93CF-40C7-B6E8-EDE4D60E7265}" name="VACATIONS" totalsRowLabel="Total" dataDxfId="1103" totalsRowDxfId="126"/>
    <tableColumn id="2" xr3:uid="{18DCAB7A-D243-43E1-B66A-3CBE60AB6025}" name="JAN" totalsRowFunction="sum" dataDxfId="1102" totalsRowDxfId="125"/>
    <tableColumn id="3" xr3:uid="{321E374E-BB5E-4B85-BF49-20E9867E3B56}" name="FEB" totalsRowFunction="sum" dataDxfId="1101" totalsRowDxfId="124"/>
    <tableColumn id="4" xr3:uid="{FBFD9DC8-A828-4222-8073-7D9C82D5C2CC}" name="MAR" totalsRowFunction="sum" dataDxfId="1100" totalsRowDxfId="123">
      <calculatedColumnFormula>12.84+10.53</calculatedColumnFormula>
    </tableColumn>
    <tableColumn id="5" xr3:uid="{AE7E7D8A-5368-4262-9588-8A8E8A1E0373}" name="APR" totalsRowFunction="sum" dataDxfId="1099" totalsRowDxfId="122">
      <calculatedColumnFormula>22.5+18.5</calculatedColumnFormula>
    </tableColumn>
    <tableColumn id="6" xr3:uid="{87F2CE3E-86CA-42C1-956D-259D49B37939}" name="MAY" totalsRowFunction="sum" dataDxfId="1098" totalsRowDxfId="121"/>
    <tableColumn id="7" xr3:uid="{90EAB867-C36E-47E8-91B1-62784FA2499E}" name="JUN" totalsRowFunction="sum" dataDxfId="1097" totalsRowDxfId="120"/>
    <tableColumn id="8" xr3:uid="{F02687C6-9DEA-4C37-A685-FF78B4F45C81}" name="JUL" totalsRowFunction="sum" dataDxfId="188" totalsRowDxfId="119"/>
    <tableColumn id="9" xr3:uid="{13515750-A703-4A59-86CF-8FB0306EB087}" name="AUG" totalsRowFunction="custom" dataDxfId="1096" totalsRowDxfId="118">
      <totalsRowFormula>SUM(tblVacations3445[AUG])</totalsRowFormula>
    </tableColumn>
    <tableColumn id="10" xr3:uid="{43588485-87F7-45CC-86FC-147E06F0AEBE}" name="SEP" totalsRowFunction="sum" dataDxfId="1095" totalsRowDxfId="117"/>
    <tableColumn id="11" xr3:uid="{2ECB90C8-D6A2-4A02-8E66-A66A955E4916}" name="OCT" totalsRowFunction="sum" dataDxfId="1094" totalsRowDxfId="116"/>
    <tableColumn id="12" xr3:uid="{145F3000-C87C-42C6-8414-31B0DF05C805}" name="NOV" totalsRowFunction="sum" dataDxfId="1093" totalsRowDxfId="115"/>
    <tableColumn id="13" xr3:uid="{9EA91AF4-D864-470D-A551-98C215997394}" name="DEC" totalsRowFunction="sum" dataDxfId="1092" totalsRowDxfId="114"/>
    <tableColumn id="14" xr3:uid="{6F3B0C57-7840-4576-9628-B2C585C8AB18}" name="YEAR" totalsRowFunction="sum" dataDxfId="1091" totalsRowDxfId="113">
      <calculatedColumnFormula>SUM(tblVacations3445[[#This Row],[JAN]:[DEC]])</calculatedColumnFormula>
    </tableColumn>
    <tableColumn id="15" xr3:uid="{FA376327-49A5-48CC-8E5E-1002A4042C54}" name="Last Updated on" dataDxfId="1090" totalsRowDxfId="112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Vacation Expenses" altTextSummary="Enter your vacation expenses for the year, separated by month.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4E5FB60-7EAD-44F8-9E5F-209D7D15F3CA}" name="tblRecreation3546" displayName="tblRecreation3546" ref="A57:R68" totalsRowCount="1" headerRowDxfId="1089" dataDxfId="1088" totalsRowDxfId="1087">
  <sortState xmlns:xlrd2="http://schemas.microsoft.com/office/spreadsheetml/2017/richdata2" ref="A58:R67">
    <sortCondition descending="1" ref="O57:O67"/>
  </sortState>
  <tableColumns count="18">
    <tableColumn id="1" xr3:uid="{5B1C943B-2616-4FB4-A5DF-404B20BF5104}" name="Investment" totalsRowLabel="Total" dataDxfId="1086" totalsRowDxfId="111"/>
    <tableColumn id="2" xr3:uid="{32BC2616-2F08-4F0B-95EC-81850BDD2E57}" name="JAN" totalsRowFunction="sum" dataDxfId="1085" totalsRowDxfId="110"/>
    <tableColumn id="3" xr3:uid="{96BD98B1-D74B-4697-93F1-5B48A526FE09}" name="FEB" totalsRowFunction="sum" dataDxfId="1084" totalsRowDxfId="109"/>
    <tableColumn id="4" xr3:uid="{C92205F2-C59B-4EC2-B84F-86F23281F450}" name="MAR" totalsRowFunction="sum" dataDxfId="1083" totalsRowDxfId="108"/>
    <tableColumn id="5" xr3:uid="{A84A1B84-489E-45F2-A97F-AE023015DE78}" name="APR" totalsRowFunction="sum" dataDxfId="1082" totalsRowDxfId="107"/>
    <tableColumn id="6" xr3:uid="{D8C0C4FB-5C0C-44DD-93FA-170C1DEFF349}" name="MAY" totalsRowFunction="sum" dataDxfId="1081" totalsRowDxfId="106"/>
    <tableColumn id="7" xr3:uid="{DDFA6A6A-F845-40D7-B4BB-1C67A2C609B7}" name="JUN" totalsRowFunction="sum" dataDxfId="208" totalsRowDxfId="105"/>
    <tableColumn id="8" xr3:uid="{2A3D1F40-A0EC-489A-B450-68110E537DAE}" name="JUL" totalsRowFunction="sum" dataDxfId="190" totalsRowDxfId="104"/>
    <tableColumn id="9" xr3:uid="{E96AB79B-087E-404C-A860-39C46831348C}" name="AUG" totalsRowFunction="sum" dataDxfId="1080" totalsRowDxfId="103"/>
    <tableColumn id="10" xr3:uid="{1839984C-00C3-4894-8636-16CC621A8408}" name="SEP" totalsRowFunction="sum" dataDxfId="1079" totalsRowDxfId="102"/>
    <tableColumn id="11" xr3:uid="{C3F4BCC0-102A-4533-9F80-2F783A77C9BC}" name="OCT" totalsRowFunction="sum" dataDxfId="1078" totalsRowDxfId="101"/>
    <tableColumn id="12" xr3:uid="{2FF10AEC-0296-4392-9957-6E2F48AC2896}" name="NOV" totalsRowFunction="sum" dataDxfId="1077" totalsRowDxfId="100"/>
    <tableColumn id="13" xr3:uid="{05DC286A-F6AB-4ECC-ABC3-A42D9F687B08}" name="DEC" totalsRowFunction="sum" dataDxfId="1076" totalsRowDxfId="99"/>
    <tableColumn id="18" xr3:uid="{79304D01-C40B-49E1-867C-741E0FD40950}" name="Current Value" totalsRowFunction="custom" dataDxfId="1075" totalsRowDxfId="98">
      <totalsRowFormula>SUM(tblRecreation3546[Current Value])</totalsRowFormula>
    </tableColumn>
    <tableColumn id="16" xr3:uid="{1FA77932-ECB9-4958-982C-24601BECA0E0}" name="Invested Total" totalsRowFunction="custom" dataDxfId="1074" totalsRowDxfId="97">
      <calculatedColumnFormula>SUM(tblRecreation3546[[#This Row],[JAN]:[DEC]])</calculatedColumnFormula>
      <totalsRowFormula>SUM(tblRecreation3546[Invested Total])</totalsRowFormula>
    </tableColumn>
    <tableColumn id="14" xr3:uid="{3708CF63-FABC-41C5-BDA9-47BBB6E49A1E}" name="YEAR" totalsRowFunction="sum" dataDxfId="1073" totalsRowDxfId="96">
      <calculatedColumnFormula>SUM(tblRecreation3546[[#This Row],[JAN]:[DEC]])</calculatedColumnFormula>
    </tableColumn>
    <tableColumn id="15" xr3:uid="{99FDA474-160D-4E36-99CB-99701A7ED7E5}" name="Last Updated on" dataDxfId="1072" totalsRowDxfId="95"/>
    <tableColumn id="17" xr3:uid="{5DDC7BB2-BD94-CA4B-B6E0-5F889FE458B3}" name="Notes" dataDxfId="1071" totalsRowDxfId="94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Recreation Expenses" altTextSummary="Enter your recreation expenses for the year, separated by month.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E8DCA16-3F28-479B-A248-510EF5403FC2}" name="tblDues3647" displayName="tblDues3647" ref="A70:O75" totalsRowCount="1" headerRowDxfId="1070" dataDxfId="1069" totalsRowDxfId="1068">
  <tableColumns count="15">
    <tableColumn id="1" xr3:uid="{A98DDCAB-4861-46BE-8941-8736E8FB6BE2}" name="DUES/SUBSCRIPTION" totalsRowLabel="Total" dataDxfId="1067" totalsRowDxfId="93"/>
    <tableColumn id="2" xr3:uid="{120234BD-B697-4E90-A92F-3AF8F0394B8F}" name="JAN" totalsRowFunction="sum" dataDxfId="1066" totalsRowDxfId="92"/>
    <tableColumn id="3" xr3:uid="{27D51798-8CCC-4F14-9DF5-5F21A9410FBB}" name="FEB" totalsRowFunction="sum" dataDxfId="1065" totalsRowDxfId="91"/>
    <tableColumn id="4" xr3:uid="{FB55FDAC-5C13-4F9B-BA0D-A3D994AD7532}" name="MAR" totalsRowFunction="sum" dataDxfId="1064" totalsRowDxfId="90"/>
    <tableColumn id="5" xr3:uid="{712C8ED7-BBF5-4108-9E79-2A147404D9D0}" name="APR" totalsRowFunction="sum" dataDxfId="1063" totalsRowDxfId="89"/>
    <tableColumn id="6" xr3:uid="{58186482-C72B-40E0-BDCE-9F40BBEF554E}" name="MAY" totalsRowFunction="sum" dataDxfId="1062" totalsRowDxfId="88"/>
    <tableColumn id="7" xr3:uid="{54FBA5A3-C9EF-4462-BFED-7FF0F83CAEB5}" name="JUN" totalsRowFunction="sum" dataDxfId="1061" totalsRowDxfId="87"/>
    <tableColumn id="8" xr3:uid="{9652E1FE-1099-4309-8170-E821A84ABB91}" name="JUL" totalsRowFunction="sum" dataDxfId="1060" totalsRowDxfId="86"/>
    <tableColumn id="9" xr3:uid="{B7671D33-2B68-4491-8336-E3AE5FF353A0}" name="AUG" totalsRowFunction="sum" dataDxfId="1059" totalsRowDxfId="85"/>
    <tableColumn id="10" xr3:uid="{F777D3A9-E12D-4AB4-9E70-698FF13FB2AB}" name="SEP" totalsRowFunction="sum" dataDxfId="1058" totalsRowDxfId="84"/>
    <tableColumn id="11" xr3:uid="{757689D6-9019-4315-BDC1-45BB2A6AFD11}" name="OCT" totalsRowFunction="sum" dataDxfId="1057" totalsRowDxfId="83"/>
    <tableColumn id="12" xr3:uid="{06F8FF85-E8C4-400A-B57C-B990D1F51167}" name="NOV" totalsRowFunction="sum" dataDxfId="1056" totalsRowDxfId="82"/>
    <tableColumn id="13" xr3:uid="{798F662E-A50E-4A2A-A8B3-2E97FDFB45FD}" name="DEC" totalsRowFunction="sum" dataDxfId="1055" totalsRowDxfId="81"/>
    <tableColumn id="14" xr3:uid="{75A548DF-E7BD-4694-9D8C-79CCBD3A8472}" name="YEAR" totalsRowFunction="sum" dataDxfId="1054" totalsRowDxfId="80">
      <calculatedColumnFormula>SUM(tblDues3647[[#This Row],[JAN]:[DEC]])</calculatedColumnFormula>
    </tableColumn>
    <tableColumn id="15" xr3:uid="{B834C9AE-B123-4030-97D7-CC567A1FE6A6}" name="Last Updated on" dataDxfId="1053" totalsRowDxfId="79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Dues &amp; Subscription Expenses" altTextSummary="Enter your dues &amp; subscription expenses for the year, separated by month.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931DDA4-11C7-42AC-AFE0-C8E565979647}" name="tblPersonal3748" displayName="tblPersonal3748" ref="A77:O84" totalsRowCount="1" headerRowDxfId="1052" dataDxfId="1051" totalsRowDxfId="1050">
  <tableColumns count="15">
    <tableColumn id="1" xr3:uid="{2DA9B6ED-446A-4213-AF9D-2515C3AA771D}" name="PERSONAL" totalsRowLabel="Total" dataDxfId="1049" totalsRowDxfId="78"/>
    <tableColumn id="2" xr3:uid="{BEAE0F84-4275-41FD-855A-4A011D98D1BF}" name="JAN" totalsRowFunction="sum" dataDxfId="1048" totalsRowDxfId="77"/>
    <tableColumn id="3" xr3:uid="{3FD12D90-84BF-41BA-8B02-30BCE615D9CC}" name="FEB" totalsRowFunction="sum" dataDxfId="1047" totalsRowDxfId="76"/>
    <tableColumn id="4" xr3:uid="{DF447B73-A510-4DC8-A112-40B8D8A80254}" name="MAR" totalsRowFunction="sum" dataDxfId="1046" totalsRowDxfId="75"/>
    <tableColumn id="5" xr3:uid="{43185778-6961-413C-8AB1-A5B6DE590F4D}" name="APR" totalsRowFunction="sum" dataDxfId="1045" totalsRowDxfId="74"/>
    <tableColumn id="6" xr3:uid="{DB5247FD-1FBC-4772-8E8E-69700BE9A53F}" name="MAY" totalsRowFunction="sum" dataDxfId="1044" totalsRowDxfId="73"/>
    <tableColumn id="7" xr3:uid="{B2EB17C9-1E3E-4FED-8A94-30347EF1FAA1}" name="JUN" totalsRowFunction="sum" dataDxfId="1043" totalsRowDxfId="72"/>
    <tableColumn id="8" xr3:uid="{CE8BC218-F29D-48D9-888E-25B45C5346B2}" name="JUL" totalsRowFunction="sum" dataDxfId="1042" totalsRowDxfId="71"/>
    <tableColumn id="9" xr3:uid="{D3F4CA27-C91C-48E1-82D6-8CDEFE65FEF4}" name="AUG" totalsRowFunction="sum" dataDxfId="1041" totalsRowDxfId="70"/>
    <tableColumn id="10" xr3:uid="{913FB696-B882-4AC0-A7FA-E94CC253AF4E}" name="SEP" totalsRowFunction="sum" dataDxfId="1040" totalsRowDxfId="69"/>
    <tableColumn id="11" xr3:uid="{2E7DA56F-72F2-4FA7-9F8A-E44135770C24}" name="OCT" totalsRowFunction="sum" dataDxfId="1039" totalsRowDxfId="68"/>
    <tableColumn id="12" xr3:uid="{35CE6D63-88DB-4FA0-AE74-87500E27ACEF}" name="NOV" totalsRowFunction="sum" dataDxfId="1038" totalsRowDxfId="67"/>
    <tableColumn id="13" xr3:uid="{168DF3EC-1FDD-4BCB-A34C-6BF0C7481189}" name="DEC" totalsRowFunction="sum" dataDxfId="1037" totalsRowDxfId="66"/>
    <tableColumn id="14" xr3:uid="{F09B1944-B1DC-4A42-A420-681E9F25DAED}" name="YEAR" totalsRowFunction="sum" dataDxfId="1036" totalsRowDxfId="65">
      <calculatedColumnFormula>SUM(tblPersonal3748[[#This Row],[JAN]:[DEC]])</calculatedColumnFormula>
    </tableColumn>
    <tableColumn id="15" xr3:uid="{BCE5A8E2-674C-4428-8B4F-4A47A0B0E3E4}" name="Last Updated on" dataDxfId="1035" totalsRowDxfId="64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Personal Expenses" altTextSummary="Enter your personal expenses for the year, separated by month.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3CFC1DC-2A37-4D6B-B5FB-0DA29BD6BD08}" name="tblFinancial3849" displayName="tblFinancial3849" ref="A86:P92" totalsRowCount="1" headerRowDxfId="1034" dataDxfId="1033" totalsRowDxfId="1032">
  <tableColumns count="16">
    <tableColumn id="1" xr3:uid="{1C7A8B58-12EE-4B92-B004-9882D77AD293}" name="FINANCIAL OBLIGATIONS" totalsRowLabel="Total" dataDxfId="1031" totalsRowDxfId="63"/>
    <tableColumn id="2" xr3:uid="{F74DB932-45A5-410A-BAD6-D2CFCD14E839}" name="JAN" totalsRowFunction="sum" dataDxfId="1030" totalsRowDxfId="62"/>
    <tableColumn id="3" xr3:uid="{20AD03AF-C591-44AF-9F8B-7111292EF234}" name="FEB" totalsRowFunction="sum" dataDxfId="1029" totalsRowDxfId="61"/>
    <tableColumn id="4" xr3:uid="{446999E6-561C-479D-AF8C-CBB2093F7B22}" name="MAR" totalsRowFunction="sum" dataDxfId="1028" totalsRowDxfId="60">
      <calculatedColumnFormula>1500+500+1000+400</calculatedColumnFormula>
    </tableColumn>
    <tableColumn id="5" xr3:uid="{4F12C8D9-0175-4118-8CBF-4AA4F7F3A595}" name="APR" totalsRowFunction="sum" dataDxfId="1027" totalsRowDxfId="59">
      <calculatedColumnFormula>500+300+1000</calculatedColumnFormula>
    </tableColumn>
    <tableColumn id="6" xr3:uid="{BACB8490-8B10-492A-B4E9-58E6CFFCF490}" name="MAY" totalsRowFunction="sum" dataDxfId="1026" totalsRowDxfId="58">
      <calculatedColumnFormula>440+329</calculatedColumnFormula>
    </tableColumn>
    <tableColumn id="7" xr3:uid="{62A0B92E-B1FB-4123-8552-B738FDC9A100}" name="JUN" totalsRowFunction="sum" dataDxfId="1025" totalsRowDxfId="57"/>
    <tableColumn id="8" xr3:uid="{8D2650D6-3E6C-453B-8B3F-8123AE47F1CE}" name="JUL" totalsRowFunction="sum" dataDxfId="191" totalsRowDxfId="56"/>
    <tableColumn id="9" xr3:uid="{BD0B9E46-E2F0-43C5-8A88-4491E1A91536}" name="AUG" totalsRowFunction="sum" dataDxfId="1024" totalsRowDxfId="55"/>
    <tableColumn id="10" xr3:uid="{8CFBA389-481A-4328-B4B7-D5B7BA9726C9}" name="SEP" totalsRowFunction="sum" dataDxfId="1023" totalsRowDxfId="54"/>
    <tableColumn id="11" xr3:uid="{5A929884-6AA3-45FD-AC60-B88403DE6FFE}" name="OCT" totalsRowFunction="sum" dataDxfId="1022" totalsRowDxfId="53"/>
    <tableColumn id="12" xr3:uid="{824F1250-747D-4E02-A382-CCDE86465D33}" name="NOV" totalsRowFunction="sum" dataDxfId="1021" totalsRowDxfId="52"/>
    <tableColumn id="13" xr3:uid="{A8217636-C7F5-4927-9B29-78D8468B0C35}" name="DEC" totalsRowFunction="sum" dataDxfId="1020" totalsRowDxfId="51"/>
    <tableColumn id="14" xr3:uid="{E414B224-B8D7-456B-B3C8-31D5A400FA45}" name="YEAR" totalsRowFunction="sum" dataDxfId="1019" totalsRowDxfId="50">
      <calculatedColumnFormula>SUM(tblFinancial3849[[#This Row],[JAN]:[DEC]])</calculatedColumnFormula>
    </tableColumn>
    <tableColumn id="15" xr3:uid="{923C5C51-136A-4A19-A66E-2CAA13E28DC5}" name="Last Updated on" dataDxfId="1018" totalsRowDxfId="49"/>
    <tableColumn id="16" xr3:uid="{E5412837-7963-412F-B958-4D991D4FD0F0}" name="Column1" dataDxfId="1017" totalsRowDxfId="48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Financial Expenses" altTextSummary="Enter your financial expenses for the year, separated by month.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05285BD-52DE-496E-8756-B9EE04993DAD}" name="tblMisc3950" displayName="tblMisc3950" ref="A94:O96" totalsRowCount="1" headerRowDxfId="1016" dataDxfId="1015" totalsRowDxfId="1014">
  <tableColumns count="15">
    <tableColumn id="1" xr3:uid="{A1C8019C-24BD-49DA-B340-2F27EBAEB48E}" name="MISC PAYMENTS" totalsRowLabel="Total" totalsRowDxfId="47"/>
    <tableColumn id="2" xr3:uid="{BF5819F9-9786-4838-AA16-E3D966AAB5E9}" name="JAN" totalsRowFunction="sum" totalsRowDxfId="46"/>
    <tableColumn id="3" xr3:uid="{3ADCFE55-59B9-4670-A5A7-3FDFDA0BB235}" name="FEB" totalsRowFunction="sum" totalsRowDxfId="45"/>
    <tableColumn id="4" xr3:uid="{E6E131C2-0A97-4836-B536-BA1709E65EF8}" name="MAR" totalsRowFunction="sum" totalsRowDxfId="44"/>
    <tableColumn id="5" xr3:uid="{049DE094-3B0B-4910-8046-E25A6F20FCAC}" name="APR" totalsRowFunction="sum" totalsRowDxfId="43">
      <calculatedColumnFormula>43.93+30+10.62</calculatedColumnFormula>
    </tableColumn>
    <tableColumn id="6" xr3:uid="{9EB9115A-A6D1-4F56-B7F4-91177D10A9DD}" name="MAY" totalsRowFunction="sum" totalsRowDxfId="42"/>
    <tableColumn id="7" xr3:uid="{31025837-1BA4-449E-B050-AD6804E8124A}" name="JUN" totalsRowFunction="sum" totalsRowDxfId="41"/>
    <tableColumn id="8" xr3:uid="{018AC702-F05F-4B78-B76B-EAC846C0A7CD}" name="JUL" totalsRowFunction="sum" totalsRowDxfId="40"/>
    <tableColumn id="9" xr3:uid="{6AB16726-57E6-445F-9F57-6160F5B2BE49}" name="AUG" totalsRowFunction="sum" totalsRowDxfId="39"/>
    <tableColumn id="10" xr3:uid="{FADA3792-13B9-4A3A-8C51-D5147CB77804}" name="SEP" totalsRowFunction="sum" totalsRowDxfId="38"/>
    <tableColumn id="11" xr3:uid="{A8E8C1DF-CD9B-43C7-B606-1824D6F0A8F9}" name="OCT" totalsRowFunction="sum" totalsRowDxfId="37"/>
    <tableColumn id="12" xr3:uid="{A1959E1C-BFA3-4475-BE34-3A25C4A6AC21}" name="NOV" totalsRowFunction="sum" totalsRowDxfId="36"/>
    <tableColumn id="13" xr3:uid="{E9D56D01-CFA5-40D2-ABEB-9CB8650C6324}" name="DEC" totalsRowFunction="sum" totalsRowDxfId="35"/>
    <tableColumn id="14" xr3:uid="{3D2C7667-0EA6-4640-8008-EF513B0C7F6B}" name="YEAR" totalsRowFunction="sum" totalsRowDxfId="34">
      <calculatedColumnFormula>SUM(tblMisc3950[[#This Row],[JAN]:[DEC]])</calculatedColumnFormula>
    </tableColumn>
    <tableColumn id="15" xr3:uid="{A0B8C35B-9164-447A-A0BB-FC201CC80755}" name="Last Updated on" totalsRowDxfId="33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Misc Expenses" altTextSummary="Enter your miscellaneous expenses for the year, separated by month.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7DDA29D-5C1F-4DB2-BA73-8FD38A58880A}" name="tblTotals4051" displayName="tblTotals4051" ref="A109:O112" totalsRowCount="1" headerRowDxfId="1013" dataDxfId="1012" headerRowCellStyle="Heading 3">
  <tableColumns count="15">
    <tableColumn id="1" xr3:uid="{C3233C68-20E7-4914-8F22-20EB88277552}" name="TOTALS" totalsRowLabel="Monthly Expenses" dataDxfId="1011" totalsRowDxfId="30"/>
    <tableColumn id="2" xr3:uid="{215B434F-357F-41B2-BFDC-D1E19776E2DF}" name="JAN" totalsRowFunction="custom" dataDxfId="1010" totalsRowDxfId="29">
      <calculatedColumnFormula>SUM(B22,B32,B38,B47,B55,B75,B84,B92,B96)</calculatedColumnFormula>
      <totalsRowFormula xml:space="preserve"> SUM(tblHome2941[[#Totals],[JAN]] + tblDaily3042[[#Totals],[JAN]] + tblTransportation3143[[#Totals],[JAN]] + tblEntertainment3244[[#Totals],[JAN]] + tblVacations3445[[#Totals],[JAN]]+ tblDues3647[[#Totals],[JAN]]+ tblPersonal3748[[#Totals],[JAN]])</totalsRowFormula>
    </tableColumn>
    <tableColumn id="3" xr3:uid="{6E5C88DD-819B-47E1-89A8-7991296BD76E}" name="FEB" totalsRowFunction="custom" dataDxfId="1009" totalsRowDxfId="28">
      <calculatedColumnFormula>SUM(C22,C32,C38,C47,C55,C75,C84,C92,C96)</calculatedColumnFormula>
      <totalsRowFormula xml:space="preserve"> SUM(tblHome2941[[#Totals],[FEB]] + tblDaily3042[[#Totals],[FEB]] + tblTransportation3143[[#Totals],[FEB]] + tblEntertainment3244[[#Totals],[FEB]] + tblVacations3445[[#Totals],[FEB]]+ tblDues3647[[#Totals],[FEB]]+ tblPersonal3748[[#Totals],[FEB]])</totalsRowFormula>
    </tableColumn>
    <tableColumn id="4" xr3:uid="{43FC5080-C8AB-4969-BDE0-AEE9A6D8CA57}" name="MAR" totalsRowFunction="custom" dataDxfId="1008" totalsRowDxfId="27">
      <calculatedColumnFormula>tblIncome2833[[#Totals],[MAR]]</calculatedColumnFormula>
      <totalsRowFormula xml:space="preserve"> SUM(tblHome2941[[#Totals],[MAR]] + tblDaily3042[[#Totals],[MAR]] + tblTransportation3143[[#Totals],[MAR]] + tblEntertainment3244[[#Totals],[MAR]] + tblVacations3445[[#Totals],[MAR]]+ tblDues3647[[#Totals],[MAR]]+ tblPersonal3748[[#Totals],[MAR]])</totalsRowFormula>
    </tableColumn>
    <tableColumn id="5" xr3:uid="{79B5EA3D-8B4B-4C67-B8D7-FA2C30CCBDBC}" name="APR" totalsRowFunction="custom" dataDxfId="1007" totalsRowDxfId="26">
      <calculatedColumnFormula>SUM(E22,E32,E38,E47,E55,E75,E84,E92,E96)</calculatedColumnFormula>
      <totalsRowFormula xml:space="preserve"> SUM(tblHome2941[[#Totals],[APR]] + tblDaily3042[[#Totals],[APR]] + tblTransportation3143[[#Totals],[APR]] + tblEntertainment3244[[#Totals],[APR]] + tblVacations3445[[#Totals],[APR]]+ tblDues3647[[#Totals],[APR]]+ tblPersonal3748[[#Totals],[APR]])</totalsRowFormula>
    </tableColumn>
    <tableColumn id="6" xr3:uid="{352795CF-1C81-42DD-B2DF-A8D18F7B908D}" name="MAY" totalsRowFunction="custom" dataDxfId="1006" totalsRowDxfId="25">
      <calculatedColumnFormula>SUM(F22,F32,F38,F47,F55,F75,F84,F92,F96)</calculatedColumnFormula>
      <totalsRowFormula xml:space="preserve"> SUM(tblHome2941[[#Totals],[MAY]] + tblDaily3042[[#Totals],[MAY]] + tblTransportation3143[[#Totals],[MAY]] + tblEntertainment3244[[#Totals],[MAY]] + tblVacations3445[[#Totals],[MAY]]+ tblDues3647[[#Totals],[MAY]]+ tblPersonal3748[[#Totals],[MAY]])</totalsRowFormula>
    </tableColumn>
    <tableColumn id="7" xr3:uid="{89439063-9180-42BF-8A0F-D17D370A9A01}" name="JUN" totalsRowFunction="custom" dataDxfId="1005" totalsRowDxfId="24">
      <calculatedColumnFormula>SUM(G22,G32,G38,G47,G55,G75,G84,G92,G96)</calculatedColumnFormula>
      <totalsRowFormula xml:space="preserve"> SUM(tblHome2941[[#Totals],[JUN]] + tblDaily3042[[#Totals],[JUN]] + tblTransportation3143[[#Totals],[JUN]] + tblEntertainment3244[[#Totals],[JUN]] + tblVacations3445[[#Totals],[JUN]]+ tblDues3647[[#Totals],[JUN]]+ tblPersonal3748[[#Totals],[JUN]])</totalsRowFormula>
    </tableColumn>
    <tableColumn id="8" xr3:uid="{866CD25A-9A97-4C1E-A3A1-969ADB91C322}" name="JUL" totalsRowFunction="custom" dataDxfId="1004" totalsRowDxfId="23">
      <calculatedColumnFormula>SUM(H22,H32,H38,H47,H55,H75,H84,H92,H96)</calculatedColumnFormula>
      <totalsRowFormula xml:space="preserve"> SUM(tblHome2941[[#Totals],[JUL]] + tblDaily3042[[#Totals],[JUL]] + tblTransportation3143[[#Totals],[JUL]] + tblEntertainment3244[[#Totals],[JUL]] + tblVacations3445[[#Totals],[JUL]]+ tblDues3647[[#Totals],[JUL]]+ tblPersonal3748[[#Totals],[JUL]])</totalsRowFormula>
    </tableColumn>
    <tableColumn id="9" xr3:uid="{C8EE8D6E-5700-4417-9FDD-03F3D246C5D0}" name="AUG" totalsRowFunction="custom" dataDxfId="1003" totalsRowDxfId="22">
      <calculatedColumnFormula>SUM(I22,I32,I38,I47,I55,I75,I84,I92,I96)</calculatedColumnFormula>
      <totalsRowFormula xml:space="preserve"> SUM(tblHome2941[[#Totals],[AUG]] + tblDaily3042[[#Totals],[AUG]] + tblTransportation3143[[#Totals],[AUG]] + tblEntertainment3244[[#Totals],[AUG]] + tblVacations3445[[#Totals],[AUG]]+ tblDues3647[[#Totals],[AUG]]+ tblPersonal3748[[#Totals],[AUG]])</totalsRowFormula>
    </tableColumn>
    <tableColumn id="10" xr3:uid="{2D2A3A11-C979-4C3A-A79B-369A66F4FFCA}" name="SEP" totalsRowFunction="custom" dataDxfId="1002" totalsRowDxfId="21">
      <calculatedColumnFormula>SUM(J22,J32,J38,J47,J55,J75,J84,J92,J96)</calculatedColumnFormula>
      <totalsRowFormula xml:space="preserve"> SUM(tblHome2941[[#Totals],[SEP]] + tblDaily3042[[#Totals],[SEP]] + tblTransportation3143[[#Totals],[SEP]] + tblEntertainment3244[[#Totals],[SEP]] + tblVacations3445[[#Totals],[SEP]]+ tblDues3647[[#Totals],[SEP]]+ tblPersonal3748[[#Totals],[SEP]])</totalsRowFormula>
    </tableColumn>
    <tableColumn id="11" xr3:uid="{734A2AFB-4E6F-41AD-9E41-17C8882937B2}" name="OCT" totalsRowFunction="custom" dataDxfId="1001" totalsRowDxfId="20">
      <calculatedColumnFormula>SUM(K22,K32,K38,K47,K55,K75,K84,K92)</calculatedColumnFormula>
      <totalsRowFormula xml:space="preserve"> SUM(tblHome2941[[#Totals],[OCT]] + tblDaily3042[[#Totals],[OCT]] + tblTransportation3143[[#Totals],[OCT]] + tblEntertainment3244[[#Totals],[OCT]] + tblVacations3445[[#Totals],[OCT]]+ tblDues3647[[#Totals],[OCT]]+ tblPersonal3748[[#Totals],[OCT]])</totalsRowFormula>
    </tableColumn>
    <tableColumn id="12" xr3:uid="{DE9D2080-6369-4A81-9431-DBFEB1078C8C}" name="NOV" totalsRowFunction="custom" dataDxfId="1000" totalsRowDxfId="19">
      <calculatedColumnFormula>SUM(L22,L32,L38,L47,L55,L75,L84,L92)</calculatedColumnFormula>
      <totalsRowFormula xml:space="preserve"> SUM(tblHome2941[[#Totals],[NOV]] + tblDaily3042[[#Totals],[NOV]] + tblTransportation3143[[#Totals],[NOV]] + tblEntertainment3244[[#Totals],[NOV]] + tblVacations3445[[#Totals],[NOV]]+ tblDues3647[[#Totals],[NOV]]+ tblPersonal3748[[#Totals],[NOV]])</totalsRowFormula>
    </tableColumn>
    <tableColumn id="13" xr3:uid="{B0B5B766-3B58-45ED-A2C6-CF08213DBF59}" name="DEC" totalsRowFunction="custom" dataDxfId="999" totalsRowDxfId="18">
      <calculatedColumnFormula>SUM(M22,M32,M38,M47,M55,M75,M84,M92)</calculatedColumnFormula>
      <totalsRowFormula xml:space="preserve"> SUM(tblHome2941[[#Totals],[DEC]] + tblDaily3042[[#Totals],[DEC]] + tblTransportation3143[[#Totals],[DEC]] + tblEntertainment3244[[#Totals],[DEC]] + tblVacations3445[[#Totals],[DEC]]+ tblDues3647[[#Totals],[DEC]]+ tblPersonal3748[[#Totals],[DEC]])</totalsRowFormula>
    </tableColumn>
    <tableColumn id="14" xr3:uid="{7252D036-445D-488E-9D02-242C4D8B87AD}" name="YEAR" totalsRowFunction="custom" dataDxfId="998" totalsRowDxfId="17">
      <calculatedColumnFormula>SUM(N22,N32,N38,N47,N55,N75,N84,N92)</calculatedColumnFormula>
      <totalsRowFormula xml:space="preserve"> SUM(tblHome2941[[#Totals],[YEAR]] + tblDaily3042[[#Totals],[YEAR]] + tblTransportation3143[[#Totals],[YEAR]] + tblEntertainment3244[[#Totals],[YEAR]] + tblVacations3445[[#Totals],[YEAR]]+ tblDues3647[[#Totals],[YEAR]]+ tblPersonal3748[[#Totals],[YEAR]])</totalsRowFormula>
    </tableColumn>
    <tableColumn id="15" xr3:uid="{95CA7F76-82C8-4DE6-9AB7-AAFD7D46D8F5}" name=" " dataDxfId="997" totalsRowDxfId="16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="Totals" altTextSummary="View your totals for the year, separated by month.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23E203-743A-2F48-B549-19EF0700FEA7}" name="Table1514" displayName="Table1514" ref="A76:F85" totalsRowShown="0">
  <autoFilter ref="A76:F85" xr:uid="{ED7E70C1-004A-412B-AD07-B847A1B46EBC}"/>
  <tableColumns count="6">
    <tableColumn id="1" xr3:uid="{5CC8BE62-4062-064B-B243-539D28BA237E}" name="Category"/>
    <tableColumn id="2" xr3:uid="{B1A77E59-0460-6C44-889C-5B51D06D591D}" name="Jan" dataDxfId="996">
      <calculatedColumnFormula>SUM(tblHome2941[[#Totals],[JAN]])</calculatedColumnFormula>
    </tableColumn>
    <tableColumn id="3" xr3:uid="{459BD2FC-9678-B34A-9389-908D32C70435}" name="Feb" dataDxfId="995"/>
    <tableColumn id="4" xr3:uid="{8CED78E6-EAAF-3040-B11B-0FE6B58E1923}" name="Mar" dataDxfId="994"/>
    <tableColumn id="5" xr3:uid="{47D250B4-2382-0B41-A0A9-E1C33D4595AC}" name="Apr" dataDxfId="993"/>
    <tableColumn id="6" xr3:uid="{35389022-5CFA-3D47-95B2-D8456E43D4A9}" name="May" dataDxfId="992"/>
  </tableColumns>
  <tableStyleInfo name="Personal Budget - Expens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6C17A31-B2BD-429E-9152-B19EA77C646B}" name="tblIncome28" displayName="tblIncome28" ref="A8:O13" totalsRowCount="1" headerRowDxfId="991" dataDxfId="990" totalsRowDxfId="989">
  <tableColumns count="15">
    <tableColumn id="1" xr3:uid="{32D076ED-DBB2-4268-851E-3E8D37940363}" name="INCOME" totalsRowLabel="Total" dataDxfId="988" totalsRowDxfId="987"/>
    <tableColumn id="2" xr3:uid="{D2D4D738-1F1A-488B-913B-6C821F94AACE}" name="JAN" totalsRowFunction="sum" dataDxfId="986" totalsRowDxfId="985"/>
    <tableColumn id="3" xr3:uid="{F4610E1B-68C7-449E-A749-AC34E14C47A2}" name="FEB" totalsRowFunction="sum" dataDxfId="984" totalsRowDxfId="983"/>
    <tableColumn id="4" xr3:uid="{FEB4F97F-0C46-422F-8A82-7BEA89784C9C}" name="MAR" totalsRowFunction="sum" dataDxfId="982" totalsRowDxfId="981"/>
    <tableColumn id="5" xr3:uid="{86CA0D50-A26E-4251-8957-D93D332E6A5F}" name="APR" totalsRowFunction="sum" dataDxfId="980" totalsRowDxfId="979"/>
    <tableColumn id="6" xr3:uid="{766D8F16-C8B2-4FE1-A8EC-CA95DD5D17C5}" name="MAY" totalsRowFunction="sum" dataDxfId="978" totalsRowDxfId="977"/>
    <tableColumn id="7" xr3:uid="{313483EF-0665-4567-A3A7-2F28A395F153}" name="JUN" totalsRowFunction="sum" dataDxfId="976" totalsRowDxfId="975"/>
    <tableColumn id="8" xr3:uid="{80801857-36F2-4993-B651-79A4498B97DC}" name="JUL" totalsRowFunction="sum" dataDxfId="974" totalsRowDxfId="973"/>
    <tableColumn id="9" xr3:uid="{AB189BFE-AFFC-4EB6-A009-A1508D02764C}" name="AUG" totalsRowFunction="sum" dataDxfId="972" totalsRowDxfId="971"/>
    <tableColumn id="10" xr3:uid="{1538503A-A9AF-43A9-8C91-DA4C89059C6A}" name="SEP" totalsRowFunction="sum" dataDxfId="970" totalsRowDxfId="969"/>
    <tableColumn id="11" xr3:uid="{145208F1-C4DE-42ED-BA8B-8E286EA353EF}" name="OCT" totalsRowFunction="sum" dataDxfId="968" totalsRowDxfId="967"/>
    <tableColumn id="12" xr3:uid="{BDB0325E-CD5D-4AF4-918E-4EFBB1FF502F}" name="NOV" totalsRowFunction="sum" dataDxfId="966" totalsRowDxfId="965">
      <calculatedColumnFormula>1293.8+1500</calculatedColumnFormula>
    </tableColumn>
    <tableColumn id="13" xr3:uid="{0D011870-1419-4CDC-85D5-3B15A4926DE1}" name="DEC" totalsRowFunction="sum" dataDxfId="964" totalsRowDxfId="963"/>
    <tableColumn id="14" xr3:uid="{E312ECD8-23EA-40F8-90AD-3386C0F4BB2A}" name="YEAR" totalsRowFunction="sum" dataDxfId="962" totalsRowDxfId="961">
      <calculatedColumnFormula>SUM(tblIncome28[[#This Row],[JAN]:[DEC]])</calculatedColumnFormula>
    </tableColumn>
    <tableColumn id="15" xr3:uid="{81F9DB74-B14E-4134-92CE-840A27B096D0}" name="Last Updated on" dataDxfId="960" totalsRowDxfId="959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Income" altTextSummary="Enter your income for the year.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2DFB051-DD6D-41E6-BCB9-F0467B076E25}" name="tblHome29" displayName="tblHome29" ref="A16:O21" totalsRowCount="1" headerRowDxfId="958" dataDxfId="957" totalsRowDxfId="956">
  <tableColumns count="15">
    <tableColumn id="1" xr3:uid="{4C42C3B3-2776-4690-BA6E-5F72F8027B6A}" name="HOME" totalsRowLabel="Total" dataDxfId="955" totalsRowDxfId="954"/>
    <tableColumn id="2" xr3:uid="{11199169-A04F-41B5-BAA6-E6628F095FBA}" name="JAN" totalsRowFunction="sum" dataDxfId="953" totalsRowDxfId="952"/>
    <tableColumn id="3" xr3:uid="{E2AD28FC-CBB7-4C58-9ED5-1796AB70DAF0}" name="FEB" totalsRowFunction="sum" dataDxfId="951" totalsRowDxfId="950"/>
    <tableColumn id="4" xr3:uid="{E28AE0D2-345F-4841-BBE9-4EE8F6489928}" name="MAR" totalsRowFunction="sum" dataDxfId="949" totalsRowDxfId="948"/>
    <tableColumn id="5" xr3:uid="{AD73BA58-2443-4B68-96F1-C269ABCD65F8}" name="APR" totalsRowFunction="sum" dataDxfId="947" totalsRowDxfId="946"/>
    <tableColumn id="6" xr3:uid="{7DE99C13-ECEE-44D6-B77E-A92E29FBD028}" name="MAY" totalsRowFunction="sum" dataDxfId="945" totalsRowDxfId="944"/>
    <tableColumn id="7" xr3:uid="{105194D5-3D04-4050-8905-5005B806258F}" name="JUN" totalsRowFunction="sum" dataDxfId="943" totalsRowDxfId="942"/>
    <tableColumn id="8" xr3:uid="{966152B3-F4FD-4D76-A6C5-1CF98F1DA857}" name="JUL" totalsRowFunction="sum" dataDxfId="941" totalsRowDxfId="940"/>
    <tableColumn id="9" xr3:uid="{EE0DE79A-98C4-4C72-9253-74EFA121AF50}" name="AUG" totalsRowFunction="sum" dataDxfId="939" totalsRowDxfId="938"/>
    <tableColumn id="10" xr3:uid="{9951A810-6078-4443-BFAA-9E0A1C7AD0A8}" name="SEP" totalsRowFunction="sum" dataDxfId="937" totalsRowDxfId="936"/>
    <tableColumn id="11" xr3:uid="{54B4CC86-4519-4423-85BA-417144C9F7E0}" name="OCT" totalsRowFunction="sum" dataDxfId="935" totalsRowDxfId="934"/>
    <tableColumn id="12" xr3:uid="{554171F6-4DCE-4B7E-9E0C-208752580177}" name="NOV" totalsRowFunction="sum" dataDxfId="933" totalsRowDxfId="932"/>
    <tableColumn id="13" xr3:uid="{383EF9E3-E4E4-47AD-813E-8FD6C7981D47}" name="DEC" totalsRowFunction="sum" dataDxfId="931" totalsRowDxfId="930"/>
    <tableColumn id="14" xr3:uid="{C28F0255-A28F-4F23-AB6E-48A97C42BED2}" name="YEAR" totalsRowFunction="sum" dataDxfId="929" totalsRowDxfId="928">
      <calculatedColumnFormula>SUM(tblHome29[[#This Row],[JAN]:[DEC]])</calculatedColumnFormula>
    </tableColumn>
    <tableColumn id="15" xr3:uid="{41C29883-4933-4E3B-92F5-48DAB84DD8CB}" name="Last Updated on" dataDxfId="927" totalsRowDxfId="926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Home Expenses" altTextSummary="Enter your home expenses for the year, separated by month.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3B1E4CD-7E35-4503-B510-4C31BECA49D8}" name="tblDaily30" displayName="tblDaily30" ref="A23:O28" totalsRowCount="1" headerRowDxfId="925" dataDxfId="924" totalsRowDxfId="923">
  <tableColumns count="15">
    <tableColumn id="1" xr3:uid="{E5AF9176-24E6-4A8E-9FBB-FA5F5045B68E}" name="DAILY LIVING" totalsRowLabel="Total" dataDxfId="922" totalsRowDxfId="921"/>
    <tableColumn id="2" xr3:uid="{DEAC1494-E17A-4D77-B67D-6E05187E7B9E}" name="JAN" totalsRowFunction="sum" dataDxfId="920" totalsRowDxfId="919"/>
    <tableColumn id="3" xr3:uid="{D0BC4AC8-6DFC-48B9-A798-890FB7AC7B9F}" name="FEB" totalsRowFunction="sum" dataDxfId="918" totalsRowDxfId="917"/>
    <tableColumn id="4" xr3:uid="{2ACE79D6-C810-43ED-AEFE-498980F0A452}" name="MAR" totalsRowFunction="sum" dataDxfId="916" totalsRowDxfId="915"/>
    <tableColumn id="5" xr3:uid="{B7B1CFF4-4327-40D7-AB43-32009D80DC7C}" name="APR" totalsRowFunction="sum" dataDxfId="914" totalsRowDxfId="913"/>
    <tableColumn id="6" xr3:uid="{634D1F3C-8049-443E-BACB-4D6F64C01708}" name="MAY" totalsRowFunction="sum" dataDxfId="912" totalsRowDxfId="911"/>
    <tableColumn id="7" xr3:uid="{C78ADC22-D8E2-4A5E-9E91-12382850086A}" name="JUN" totalsRowFunction="sum" dataDxfId="910" totalsRowDxfId="909"/>
    <tableColumn id="8" xr3:uid="{41ABB1AC-250E-480D-9052-D1EE7DF04CAD}" name="JUL" totalsRowFunction="sum" dataDxfId="908" totalsRowDxfId="907"/>
    <tableColumn id="9" xr3:uid="{2292F7CE-B39F-4E10-A0C5-34C4015807A5}" name="AUG" totalsRowFunction="sum" dataDxfId="906" totalsRowDxfId="905"/>
    <tableColumn id="10" xr3:uid="{E5ED9258-F3B2-44AC-B50A-4C6C828EE7AD}" name="SEP" totalsRowFunction="sum" dataDxfId="904" totalsRowDxfId="903"/>
    <tableColumn id="11" xr3:uid="{A119D26E-49F9-4D2B-B3AD-ABAE0CEBEACD}" name="OCT" totalsRowFunction="sum" dataDxfId="902" totalsRowDxfId="901"/>
    <tableColumn id="12" xr3:uid="{2E3E79FA-C6F5-40D2-B847-4C2A5154161F}" name="NOV" totalsRowFunction="sum" dataDxfId="900" totalsRowDxfId="899"/>
    <tableColumn id="13" xr3:uid="{A88A7AFD-E27A-4AF0-8F64-DF79ED7CA19C}" name="DEC" totalsRowFunction="sum" dataDxfId="898" totalsRowDxfId="897"/>
    <tableColumn id="14" xr3:uid="{A0A5EC32-6A99-40EE-A517-13D38B16362A}" name="YEAR" totalsRowFunction="sum" dataDxfId="896" totalsRowDxfId="895">
      <calculatedColumnFormula>SUM(tblDaily30[[#This Row],[JAN]:[DEC]])</calculatedColumnFormula>
    </tableColumn>
    <tableColumn id="15" xr3:uid="{1830ED22-305B-4128-8CF1-4E2258D8041D}" name="Last Updated on" dataDxfId="894" totalsRowDxfId="893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Daily Living Expenses" altTextSummary="Enter your daily living expenses for the year, separated by month.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C73CF42-43FC-4836-BC53-66F814C1ED01}" name="tblTransportation31" displayName="tblTransportation31" ref="A30:O34" totalsRowCount="1" headerRowDxfId="892" dataDxfId="891" totalsRowDxfId="890">
  <tableColumns count="15">
    <tableColumn id="1" xr3:uid="{6AB7F82F-7E75-4B59-8B38-B180BC3D5B26}" name="TRANSPORTATION" totalsRowLabel="Total" dataDxfId="889" totalsRowDxfId="888"/>
    <tableColumn id="2" xr3:uid="{F23023C4-8398-4E3B-9BA2-B6B7C85F312A}" name="JAN" totalsRowFunction="sum" dataDxfId="887" totalsRowDxfId="886"/>
    <tableColumn id="3" xr3:uid="{16344A48-AE04-4C8F-8D47-B0BEAA9336D1}" name="FEB" totalsRowFunction="sum" dataDxfId="885" totalsRowDxfId="884"/>
    <tableColumn id="4" xr3:uid="{55785B2E-CD41-4832-9340-0FD677CB6707}" name="MAR" totalsRowFunction="sum" dataDxfId="883" totalsRowDxfId="882"/>
    <tableColumn id="5" xr3:uid="{818B451E-E880-47F3-B93E-7D44AEED1460}" name="APR" totalsRowFunction="sum" dataDxfId="881" totalsRowDxfId="880"/>
    <tableColumn id="6" xr3:uid="{E6F8CCFE-FAAA-431F-8C6B-7C2B86AF7AD7}" name="MAY" totalsRowFunction="sum" dataDxfId="879" totalsRowDxfId="878"/>
    <tableColumn id="7" xr3:uid="{C5170639-3712-4DA8-BD3C-607E14352143}" name="JUN" totalsRowFunction="sum" dataDxfId="877" totalsRowDxfId="876"/>
    <tableColumn id="8" xr3:uid="{A4DB35D9-E182-4E35-975D-23DD2356F249}" name="JUL" totalsRowFunction="sum" dataDxfId="875" totalsRowDxfId="874"/>
    <tableColumn id="9" xr3:uid="{76722BDE-CA3B-4DD5-BA9A-82577124CCCE}" name="AUG" totalsRowFunction="sum" dataDxfId="873" totalsRowDxfId="872"/>
    <tableColumn id="10" xr3:uid="{14EECB4D-F07D-47DF-B252-4819AC60F070}" name="SEP" totalsRowFunction="sum" dataDxfId="871" totalsRowDxfId="870"/>
    <tableColumn id="11" xr3:uid="{CB35FA76-0876-4C23-AED6-AEBD41A35511}" name="OCT" totalsRowFunction="sum" dataDxfId="869" totalsRowDxfId="868"/>
    <tableColumn id="12" xr3:uid="{B753D7D8-7C29-49BF-9A46-6A47756D1C0B}" name="NOV" totalsRowFunction="sum" dataDxfId="867" totalsRowDxfId="866"/>
    <tableColumn id="13" xr3:uid="{CDDEB797-6EED-43A5-AAF0-9948CE70460E}" name="DEC" totalsRowFunction="sum" dataDxfId="865" totalsRowDxfId="864"/>
    <tableColumn id="14" xr3:uid="{17999F3B-6BAF-4F8D-8867-E6CEBDEB3819}" name="YEAR" totalsRowFunction="sum" dataDxfId="863" totalsRowDxfId="862">
      <calculatedColumnFormula>SUM(tblTransportation31[[#This Row],[JAN]:[DEC]])</calculatedColumnFormula>
    </tableColumn>
    <tableColumn id="15" xr3:uid="{9A1C0436-6B05-4B52-B8CB-2006C0E0B811}" name="Last Updated on" dataDxfId="861" totalsRowDxfId="860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Transportation expenses" altTextSummary="Enter your transportation expenses for the year, separated by month.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BBE5710-9EAA-4BE7-855C-81B7BDC7C854}" name="tblEntertainment32" displayName="tblEntertainment32" ref="A36:P43" totalsRowCount="1" headerRowDxfId="859" dataDxfId="858" totalsRowDxfId="857">
  <tableColumns count="16">
    <tableColumn id="1" xr3:uid="{532F459B-0C36-44B2-ADD8-500A2E0F9C4B}" name="Credit Card" totalsRowLabel="Total" dataDxfId="856" totalsRowDxfId="855"/>
    <tableColumn id="2" xr3:uid="{2BA7DE6A-8BE7-4079-8142-051FC5B6CC71}" name="JAN" totalsRowFunction="sum" dataDxfId="854" totalsRowDxfId="853"/>
    <tableColumn id="3" xr3:uid="{6A5E1487-3791-4ADA-8E5E-A3FA05119186}" name="FEB" totalsRowFunction="sum" dataDxfId="852" totalsRowDxfId="851"/>
    <tableColumn id="4" xr3:uid="{ED1670F5-6B6E-4719-BF43-EAC243D1491C}" name="MAR" totalsRowFunction="sum" dataDxfId="850" totalsRowDxfId="849"/>
    <tableColumn id="5" xr3:uid="{D0A115D7-422D-458D-9B13-B8B8196A0808}" name="APR" totalsRowFunction="sum" dataDxfId="848" totalsRowDxfId="847"/>
    <tableColumn id="6" xr3:uid="{249F0475-808D-496D-AEA3-A126F627D6F5}" name="MAY" totalsRowFunction="sum" dataDxfId="846" totalsRowDxfId="845"/>
    <tableColumn id="7" xr3:uid="{A22A4AE1-116C-4763-AE33-983F9FBFA7F0}" name="JUN" totalsRowFunction="sum" dataDxfId="844" totalsRowDxfId="843"/>
    <tableColumn id="8" xr3:uid="{AA06E8BC-71FD-4871-AE11-B5BF80246C7A}" name="JUL" totalsRowFunction="sum" dataDxfId="842" totalsRowDxfId="841"/>
    <tableColumn id="9" xr3:uid="{206A81E7-1832-43FA-A413-93CDED6ECC61}" name="AUG" totalsRowFunction="sum" dataDxfId="840" totalsRowDxfId="839"/>
    <tableColumn id="10" xr3:uid="{79FE3C82-0ABD-4FAD-87DF-6F867F42DE3B}" name="SEP" totalsRowFunction="sum" dataDxfId="838" totalsRowDxfId="837"/>
    <tableColumn id="11" xr3:uid="{522DC209-75DC-4903-89E4-A2DE302D813F}" name="OCT" totalsRowFunction="sum" dataDxfId="836" totalsRowDxfId="835"/>
    <tableColumn id="12" xr3:uid="{D8193DDC-75FA-4CF4-9689-6CB121D0E41E}" name="NOV" totalsRowFunction="sum" dataDxfId="834" totalsRowDxfId="833"/>
    <tableColumn id="13" xr3:uid="{4891894E-2EB1-4C1E-A369-A693F8E855D5}" name="DEC" totalsRowFunction="sum" dataDxfId="832" totalsRowDxfId="831"/>
    <tableColumn id="14" xr3:uid="{40335054-05B2-4121-99BC-1115EF6B9BBD}" name="YEAR" totalsRowFunction="sum" dataDxfId="830" totalsRowDxfId="829">
      <calculatedColumnFormula>SUM(tblEntertainment32[[#This Row],[JAN]:[DEC]])</calculatedColumnFormula>
    </tableColumn>
    <tableColumn id="15" xr3:uid="{55408FBE-6EA1-477B-8327-D7CA08B323A2}" name="Last Updated on" dataDxfId="828" totalsRowDxfId="827"/>
    <tableColumn id="16" xr3:uid="{223F0618-68E1-4D48-BF63-78B1E9130D0D}" name="Balance" totalsRowFunction="custom" dataDxfId="826" totalsRowDxfId="825">
      <totalsRowFormula>SUM(tblEntertainment32[Balance])</totalsRowFormula>
    </tableColumn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Entertainment Expenses" altTextSummary="Enter your entertainment expenses for the year, separated by month.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F69D0B3-F826-4DA5-B630-141954903D6D}" name="tblVacations34" displayName="tblVacations34" ref="A45:O51" totalsRowCount="1" headerRowDxfId="824" dataDxfId="823" totalsRowDxfId="822">
  <tableColumns count="15">
    <tableColumn id="1" xr3:uid="{537AB7E9-B280-4FDD-9511-63FD0880A13E}" name="VACATIONS" totalsRowLabel="Total" dataDxfId="821" totalsRowDxfId="820"/>
    <tableColumn id="2" xr3:uid="{F03F3AA3-47DF-402E-8D35-748CE48409EF}" name="JAN" totalsRowFunction="sum" dataDxfId="819" totalsRowDxfId="818"/>
    <tableColumn id="3" xr3:uid="{29130658-20BA-4DFC-A217-800402DD0BFC}" name="FEB" totalsRowFunction="sum" dataDxfId="817" totalsRowDxfId="816"/>
    <tableColumn id="4" xr3:uid="{D51AE3A4-4112-49A2-BBAB-8783500E365F}" name="MAR" totalsRowFunction="sum" dataDxfId="815" totalsRowDxfId="814"/>
    <tableColumn id="5" xr3:uid="{F0F0C090-0387-404D-9B6E-9B75107AD2DC}" name="APR" totalsRowFunction="sum" dataDxfId="813" totalsRowDxfId="812"/>
    <tableColumn id="6" xr3:uid="{C8DE19DC-1F95-4746-8EBA-C46729942E8A}" name="MAY" totalsRowFunction="sum" dataDxfId="811" totalsRowDxfId="810"/>
    <tableColumn id="7" xr3:uid="{FABBFF93-27D5-4F26-9553-449124A59506}" name="JUN" totalsRowFunction="sum" dataDxfId="809" totalsRowDxfId="808"/>
    <tableColumn id="8" xr3:uid="{AE2A36BF-1DCE-468F-AC06-3EADB311B6E4}" name="JUL" totalsRowFunction="sum" dataDxfId="807" totalsRowDxfId="806"/>
    <tableColumn id="9" xr3:uid="{BBEC5203-64D2-4D63-A119-473174EDA5D7}" name="AUG" totalsRowFunction="custom" dataDxfId="805" totalsRowDxfId="804">
      <totalsRowFormula>SUM(tblVacations34[AUG])</totalsRowFormula>
    </tableColumn>
    <tableColumn id="10" xr3:uid="{8228C25A-E7B0-4590-9DD7-B25554F3595B}" name="SEP" totalsRowFunction="sum" dataDxfId="803" totalsRowDxfId="802"/>
    <tableColumn id="11" xr3:uid="{1F7F6D70-8F33-4E09-8F3C-29E87E3CE2C1}" name="OCT" totalsRowFunction="sum" dataDxfId="801" totalsRowDxfId="800"/>
    <tableColumn id="12" xr3:uid="{0F154E2D-4D0C-452B-802B-CA639119EFFC}" name="NOV" totalsRowFunction="sum" dataDxfId="799" totalsRowDxfId="798">
      <calculatedColumnFormula xml:space="preserve"> 157.46 + 69.46</calculatedColumnFormula>
    </tableColumn>
    <tableColumn id="13" xr3:uid="{DF769C25-0A1B-46E3-A1C1-7AB1C0DFCE08}" name="DEC" totalsRowFunction="sum" dataDxfId="797" totalsRowDxfId="796"/>
    <tableColumn id="14" xr3:uid="{77F062D0-CA80-477C-827E-68CD7413EDB9}" name="YEAR" totalsRowFunction="sum" dataDxfId="795" totalsRowDxfId="794">
      <calculatedColumnFormula>SUM(tblVacations34[[#This Row],[JAN]:[DEC]])</calculatedColumnFormula>
    </tableColumn>
    <tableColumn id="15" xr3:uid="{48E3B5E4-207E-47D5-BC68-3A8BFF7DB7DC}" name="Last Updated on" dataDxfId="793" totalsRowDxfId="792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Vacation Expenses" altTextSummary="Enter your vacation expenses for the year, separated by month.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06F289B-A26E-4973-A767-0D44FA2CD502}" name="tblRecreation35" displayName="tblRecreation35" ref="A53:Q61" totalsRowCount="1" headerRowDxfId="791" dataDxfId="790" totalsRowDxfId="789">
  <tableColumns count="17">
    <tableColumn id="1" xr3:uid="{B51276AA-9837-443A-B73C-89AEC6668840}" name="Investment" totalsRowLabel="Total" dataDxfId="788" totalsRowDxfId="787"/>
    <tableColumn id="2" xr3:uid="{48425A0D-06F3-469F-8E33-9BAB62A1D201}" name="JAN" totalsRowFunction="sum" dataDxfId="786" totalsRowDxfId="785"/>
    <tableColumn id="3" xr3:uid="{03BE643D-C960-45F9-A5EA-FB54004E0243}" name="FEB" totalsRowFunction="sum" dataDxfId="784" totalsRowDxfId="783"/>
    <tableColumn id="4" xr3:uid="{E02C2588-9F3F-42DF-A2DF-EE728F65F24C}" name="MAR" totalsRowFunction="sum" dataDxfId="782" totalsRowDxfId="781"/>
    <tableColumn id="5" xr3:uid="{9B9E96DB-9603-4BFD-AC53-86016B9C312A}" name="APR" totalsRowFunction="sum" dataDxfId="780" totalsRowDxfId="779"/>
    <tableColumn id="6" xr3:uid="{83B91C1C-DA26-4131-A82F-CD554F71BAD2}" name="MAY" totalsRowFunction="sum" dataDxfId="778" totalsRowDxfId="777"/>
    <tableColumn id="7" xr3:uid="{33EE8EB6-7A65-4230-AE27-AA4EDA7C1A87}" name="JUN" totalsRowFunction="sum" dataDxfId="776" totalsRowDxfId="775"/>
    <tableColumn id="8" xr3:uid="{187D9E62-5630-41E7-85D4-1139A6CBDCE8}" name="JUL" totalsRowFunction="sum" dataDxfId="774" totalsRowDxfId="773"/>
    <tableColumn id="9" xr3:uid="{072ADC5B-798E-419C-A096-ACB6817BBBEC}" name="AUG" totalsRowFunction="sum" dataDxfId="772" totalsRowDxfId="771"/>
    <tableColumn id="10" xr3:uid="{6BE9F5EF-5943-46E8-BA92-76CC34A548CE}" name="SEP" totalsRowFunction="sum" dataDxfId="770" totalsRowDxfId="769"/>
    <tableColumn id="11" xr3:uid="{6E910E75-8958-4C5A-8FD5-B76495204823}" name="OCT" totalsRowFunction="sum" dataDxfId="768" totalsRowDxfId="767"/>
    <tableColumn id="12" xr3:uid="{64CD5B68-2B88-4D4E-ADCD-DE1B2111D1EF}" name="NOV" totalsRowFunction="sum" dataDxfId="766" totalsRowDxfId="765"/>
    <tableColumn id="13" xr3:uid="{A80C923D-1F0B-4616-8760-3BCA60FFB1ED}" name="DEC" totalsRowFunction="sum" dataDxfId="764" totalsRowDxfId="763"/>
    <tableColumn id="18" xr3:uid="{9FBE80E4-3F41-4F9B-8E11-F3D21FE4BD74}" name="Current Value" totalsRowFunction="custom" dataDxfId="762" totalsRowDxfId="761">
      <totalsRowFormula>SUM(tblRecreation35[Current Value])</totalsRowFormula>
    </tableColumn>
    <tableColumn id="16" xr3:uid="{1D27F0F1-C64E-472F-80BD-CC7536FEED59}" name="Invested Total" totalsRowFunction="custom" dataDxfId="760" totalsRowDxfId="759">
      <calculatedColumnFormula>780 + SUM(tblRecreation35[[#This Row],[AUG]:[DEC]])</calculatedColumnFormula>
      <totalsRowFormula>SUM(tblRecreation35[Invested Total])</totalsRowFormula>
    </tableColumn>
    <tableColumn id="14" xr3:uid="{46D018AE-6F6B-47F3-8542-9D6A1DF698EB}" name="YEAR" totalsRowFunction="sum" dataDxfId="758" totalsRowDxfId="757">
      <calculatedColumnFormula>SUM(tblRecreation35[[#This Row],[JAN]:[DEC]])</calculatedColumnFormula>
    </tableColumn>
    <tableColumn id="15" xr3:uid="{A0A3911A-460C-44F4-A754-0A84ACD58ACC}" name="Last Updated on" dataDxfId="756" totalsRowDxfId="755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Recreation Expenses" altTextSummary="Enter your recreation expenses for the year, separated by month.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C34451D-2684-40B9-971F-221E20A4EF28}" name="tblDues36" displayName="tblDues36" ref="A63:O67" totalsRowCount="1" headerRowDxfId="754" dataDxfId="753" totalsRowDxfId="752">
  <tableColumns count="15">
    <tableColumn id="1" xr3:uid="{3DA6857E-9FEE-4405-B569-E729AE4B6F41}" name="DUES/SUBSCRIPTION" totalsRowLabel="Total" dataDxfId="751" totalsRowDxfId="750"/>
    <tableColumn id="2" xr3:uid="{AADAFED8-F455-48DC-B48E-36B486032E12}" name="JAN" totalsRowFunction="sum" dataDxfId="749" totalsRowDxfId="748"/>
    <tableColumn id="3" xr3:uid="{D65B789A-DBF2-405F-B830-17F0F397ED6C}" name="FEB" totalsRowFunction="sum" dataDxfId="747" totalsRowDxfId="746"/>
    <tableColumn id="4" xr3:uid="{8213671E-4018-4765-8C95-087753A1AA88}" name="MAR" totalsRowFunction="sum" dataDxfId="745" totalsRowDxfId="744"/>
    <tableColumn id="5" xr3:uid="{1472134A-01BE-4878-A87A-5CEB78FCB8F5}" name="APR" totalsRowFunction="sum" dataDxfId="743" totalsRowDxfId="742"/>
    <tableColumn id="6" xr3:uid="{92392575-E291-4123-A7FF-3DDEF8036D76}" name="MAY" totalsRowFunction="sum" dataDxfId="741" totalsRowDxfId="740"/>
    <tableColumn id="7" xr3:uid="{15236047-D45E-4A01-A5A3-90DFE673A9B9}" name="JUN" totalsRowFunction="sum" dataDxfId="739" totalsRowDxfId="738"/>
    <tableColumn id="8" xr3:uid="{796B41B5-5F84-4985-97C1-C094046D6CFF}" name="JUL" totalsRowFunction="sum" dataDxfId="737" totalsRowDxfId="736"/>
    <tableColumn id="9" xr3:uid="{899F1E6F-C40F-4262-B9E4-CB53497D4D71}" name="AUG" totalsRowFunction="sum" dataDxfId="735" totalsRowDxfId="734"/>
    <tableColumn id="10" xr3:uid="{42457BBA-7E7F-40A6-B767-24B9FE03164C}" name="SEP" totalsRowFunction="sum" dataDxfId="733" totalsRowDxfId="732"/>
    <tableColumn id="11" xr3:uid="{5D39E313-32BB-48C3-A1EA-F76FB47BBCED}" name="OCT" totalsRowFunction="sum" dataDxfId="731" totalsRowDxfId="730"/>
    <tableColumn id="12" xr3:uid="{8E0722AC-26A0-48B6-A070-F448E0ACBB03}" name="NOV" totalsRowFunction="sum" dataDxfId="729" totalsRowDxfId="728"/>
    <tableColumn id="13" xr3:uid="{92089733-1237-439B-8466-AE2267504F66}" name="DEC" totalsRowFunction="sum" dataDxfId="727" totalsRowDxfId="726"/>
    <tableColumn id="14" xr3:uid="{AA5FDF8C-B25B-4E9D-A0CE-EAED31E1D1D0}" name="YEAR" totalsRowFunction="sum" dataDxfId="725" totalsRowDxfId="724">
      <calculatedColumnFormula>SUM(tblDues36[[#This Row],[JAN]:[DEC]])</calculatedColumnFormula>
    </tableColumn>
    <tableColumn id="15" xr3:uid="{E27F3FA3-FCA2-4E7C-8D9D-D9240019FFDB}" name="Last Updated on" dataDxfId="723" totalsRowDxfId="722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Dues &amp; Subscription Expenses" altTextSummary="Enter your dues &amp; subscription expenses for the year, separated by month.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B458D88-10D1-40B8-8BC2-72EDD7E7740D}" name="tblPersonal37" displayName="tblPersonal37" ref="A69:O74" totalsRowCount="1" headerRowDxfId="721" dataDxfId="720" totalsRowDxfId="719">
  <tableColumns count="15">
    <tableColumn id="1" xr3:uid="{77EACF1D-5B44-45ED-B761-0336EEF961AE}" name="PERSONAL" totalsRowLabel="Total" dataDxfId="718" totalsRowDxfId="717"/>
    <tableColumn id="2" xr3:uid="{B2361094-6267-4698-9E0C-D64CB8BE646A}" name="JAN" totalsRowFunction="sum" dataDxfId="716" totalsRowDxfId="715"/>
    <tableColumn id="3" xr3:uid="{19405073-A5B0-4F34-B9B4-AE6D01722190}" name="FEB" totalsRowFunction="sum" dataDxfId="714" totalsRowDxfId="713"/>
    <tableColumn id="4" xr3:uid="{856B436B-F004-42A1-9AF7-903C00F2124E}" name="MAR" totalsRowFunction="sum" dataDxfId="712" totalsRowDxfId="711"/>
    <tableColumn id="5" xr3:uid="{B2A7D8D5-8608-4B0D-8113-C6A41B240951}" name="APR" totalsRowFunction="sum" dataDxfId="710" totalsRowDxfId="709"/>
    <tableColumn id="6" xr3:uid="{50E8841E-B936-4E91-8DF0-81534723BB61}" name="MAY" totalsRowFunction="sum" dataDxfId="708" totalsRowDxfId="707"/>
    <tableColumn id="7" xr3:uid="{33E253FF-C349-41BC-A509-C1C5B7A95566}" name="JUN" totalsRowFunction="sum" dataDxfId="706" totalsRowDxfId="705"/>
    <tableColumn id="8" xr3:uid="{B38E4D81-BAB1-4916-8B1B-2B5E1C0041B6}" name="JUL" totalsRowFunction="sum" dataDxfId="704" totalsRowDxfId="703"/>
    <tableColumn id="9" xr3:uid="{C74295E8-9C83-409C-B818-27BE64719BF1}" name="AUG" totalsRowFunction="sum" dataDxfId="702" totalsRowDxfId="701"/>
    <tableColumn id="10" xr3:uid="{11ECFF38-9D28-443A-B4F3-3ECE494F3502}" name="SEP" totalsRowFunction="sum" dataDxfId="700" totalsRowDxfId="699"/>
    <tableColumn id="11" xr3:uid="{00EB19F9-C70B-410D-917A-C2248FC6B45D}" name="OCT" totalsRowFunction="sum" dataDxfId="698" totalsRowDxfId="697"/>
    <tableColumn id="12" xr3:uid="{A605F6C5-41A3-41CB-A8AD-FC50E3A184A1}" name="NOV" totalsRowFunction="sum" dataDxfId="696" totalsRowDxfId="695">
      <calculatedColumnFormula>13.94</calculatedColumnFormula>
    </tableColumn>
    <tableColumn id="13" xr3:uid="{DB95CDBF-1422-4E2C-BD07-EBA7E4EAC9E0}" name="DEC" totalsRowFunction="sum" dataDxfId="694" totalsRowDxfId="693"/>
    <tableColumn id="14" xr3:uid="{3F9E8A66-F067-4113-B02C-AEBEA8AB6E9D}" name="YEAR" totalsRowFunction="sum" dataDxfId="692" totalsRowDxfId="691">
      <calculatedColumnFormula>SUM(tblPersonal37[[#This Row],[JAN]:[DEC]])</calculatedColumnFormula>
    </tableColumn>
    <tableColumn id="15" xr3:uid="{BB9A0A91-ABD3-4EC1-A9B3-6FC40954B13A}" name="Last Updated on" dataDxfId="690" totalsRowDxfId="689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Personal Expenses" altTextSummary="Enter your personal expenses for the year, separated by month.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3B00AA0-30A2-443E-A2C8-6E4B8429858A}" name="tblFinancial38" displayName="tblFinancial38" ref="A76:P80" totalsRowCount="1" headerRowDxfId="688" dataDxfId="687" totalsRowDxfId="686">
  <tableColumns count="16">
    <tableColumn id="1" xr3:uid="{9D7283E6-6A2B-4222-85FC-EE5719126EB6}" name="FINANCIAL OBLIGATIONS" totalsRowLabel="Total" dataDxfId="685" totalsRowDxfId="684"/>
    <tableColumn id="2" xr3:uid="{5C7159F3-3E43-43BD-97D1-16899B25D07A}" name="JAN" totalsRowFunction="sum" dataDxfId="683" totalsRowDxfId="682"/>
    <tableColumn id="3" xr3:uid="{62705589-6590-439C-B2B7-768E3BF50C2D}" name="FEB" totalsRowFunction="sum" dataDxfId="681" totalsRowDxfId="680"/>
    <tableColumn id="4" xr3:uid="{3F102E8F-1463-4859-BBF5-143EC7AA6A40}" name="MAR" totalsRowFunction="sum" dataDxfId="679" totalsRowDxfId="678"/>
    <tableColumn id="5" xr3:uid="{4CC6C6B9-7FF1-4754-865C-51248E7AAE3C}" name="APR" totalsRowFunction="sum" dataDxfId="677" totalsRowDxfId="676"/>
    <tableColumn id="6" xr3:uid="{7D87EE24-FE22-449F-80EC-8BF954916216}" name="MAY" totalsRowFunction="sum" dataDxfId="675" totalsRowDxfId="674"/>
    <tableColumn id="7" xr3:uid="{AC199585-D765-4092-938A-3ACDD70229A5}" name="JUN" totalsRowFunction="sum" dataDxfId="673" totalsRowDxfId="672"/>
    <tableColumn id="8" xr3:uid="{E67C05EB-F785-4954-811D-D0AEB446B596}" name="JUL" totalsRowFunction="sum" dataDxfId="671" totalsRowDxfId="670"/>
    <tableColumn id="9" xr3:uid="{4A55AECB-6015-4322-92D7-32144B2F5417}" name="AUG" totalsRowFunction="sum" dataDxfId="669" totalsRowDxfId="668">
      <calculatedColumnFormula xml:space="preserve"> 4204 - SUM(I56:I57)</calculatedColumnFormula>
    </tableColumn>
    <tableColumn id="10" xr3:uid="{1CAD49B1-19E9-41F4-97F2-F1251BCCFD19}" name="SEP" totalsRowFunction="sum" dataDxfId="667" totalsRowDxfId="666">
      <calculatedColumnFormula>4950 - SUM(J56:J57)</calculatedColumnFormula>
    </tableColumn>
    <tableColumn id="11" xr3:uid="{E2111C24-0F26-40F4-BF55-AFD7A5BC8033}" name="OCT" totalsRowFunction="sum" dataDxfId="665" totalsRowDxfId="664">
      <calculatedColumnFormula>2900</calculatedColumnFormula>
    </tableColumn>
    <tableColumn id="12" xr3:uid="{C049C4AF-69FD-4615-8404-76B3D643BEBE}" name="NOV" totalsRowFunction="sum" dataDxfId="663" totalsRowDxfId="662">
      <calculatedColumnFormula>200+200+1000</calculatedColumnFormula>
    </tableColumn>
    <tableColumn id="13" xr3:uid="{8C2D518E-BFB7-421E-BD84-94E50E3C051E}" name="DEC" totalsRowFunction="sum" dataDxfId="661" totalsRowDxfId="660"/>
    <tableColumn id="14" xr3:uid="{40B7F717-014A-4281-8388-E25FEE691C31}" name="YEAR" totalsRowFunction="sum" dataDxfId="659" totalsRowDxfId="658">
      <calculatedColumnFormula>SUM(tblFinancial38[[#This Row],[JAN]:[DEC]])</calculatedColumnFormula>
    </tableColumn>
    <tableColumn id="15" xr3:uid="{7C977AB8-6C2E-4B91-9741-816796053833}" name="Last Updated on" dataDxfId="657" totalsRowDxfId="656"/>
    <tableColumn id="16" xr3:uid="{89CB35EB-31B5-4B57-988C-700C3D573FB3}" name="Column1" dataDxfId="655" totalsRowDxfId="654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Financial Expenses" altTextSummary="Enter your financial expenses for the year, separated by month.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C23F080-7D2B-4D59-B225-C42AF2F0CEA9}" name="tblMisc39" displayName="tblMisc39" ref="A82:O84" totalsRowCount="1" headerRowDxfId="653" dataDxfId="652" totalsRowDxfId="651">
  <tableColumns count="15">
    <tableColumn id="1" xr3:uid="{3A940956-3929-4D32-A461-EFEAA89EE7CE}" name="MISC PAYMENTS" totalsRowLabel="Total" totalsRowDxfId="650"/>
    <tableColumn id="2" xr3:uid="{01503F76-95CD-4FA0-A1A6-7CD6166C3E25}" name="JAN" totalsRowFunction="sum" totalsRowDxfId="649"/>
    <tableColumn id="3" xr3:uid="{A0C66997-B514-46EE-914B-6F23A67B9E31}" name="FEB" totalsRowFunction="sum" totalsRowDxfId="648"/>
    <tableColumn id="4" xr3:uid="{E03E4F9E-3182-4133-867C-C5C3ACF4F454}" name="MAR" totalsRowFunction="sum" totalsRowDxfId="647"/>
    <tableColumn id="5" xr3:uid="{71C37E72-66C1-40DD-92C5-643501624B88}" name="APR" totalsRowFunction="sum" totalsRowDxfId="646"/>
    <tableColumn id="6" xr3:uid="{D6790400-A9CC-42CC-843D-46B535D6B26C}" name="MAY" totalsRowFunction="sum" totalsRowDxfId="645"/>
    <tableColumn id="7" xr3:uid="{14207AD1-93A0-450E-8008-3CF9224016DE}" name="JUN" totalsRowFunction="sum" totalsRowDxfId="644"/>
    <tableColumn id="8" xr3:uid="{6220EBCB-2FAB-48EC-A0C2-4877EAEC62A3}" name="JUL" totalsRowFunction="sum" totalsRowDxfId="643"/>
    <tableColumn id="9" xr3:uid="{48429DBD-0D85-4AF2-8B92-CCFF961BD41E}" name="AUG" totalsRowFunction="sum" totalsRowDxfId="642"/>
    <tableColumn id="10" xr3:uid="{5FCBC9BF-5B8F-4F97-A892-D56DEB02066E}" name="SEP" totalsRowFunction="sum" totalsRowDxfId="641"/>
    <tableColumn id="11" xr3:uid="{386CF483-82E9-4ACC-9A74-AC0FE48D7FB4}" name="OCT" totalsRowFunction="sum" totalsRowDxfId="640"/>
    <tableColumn id="12" xr3:uid="{D24A528E-1500-4CAF-8D42-AD81ABF3CB00}" name="NOV" totalsRowFunction="sum" totalsRowDxfId="639"/>
    <tableColumn id="13" xr3:uid="{5E603318-7C6D-44C6-8418-3EFC72E426DB}" name="DEC" totalsRowFunction="sum" totalsRowDxfId="638"/>
    <tableColumn id="14" xr3:uid="{85DEC8AE-44AE-4D50-81F1-B5854C1CE03D}" name="YEAR" totalsRowFunction="sum" totalsRowDxfId="637">
      <calculatedColumnFormula>SUM(tblMisc39[[#This Row],[JAN]:[DEC]])</calculatedColumnFormula>
    </tableColumn>
    <tableColumn id="15" xr3:uid="{2776E302-3DC7-49FD-B7BE-48877E6437EE}" name="Last Updated on" dataDxfId="636" totalsRowDxfId="635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Misc Expenses" altTextSummary="Enter your miscellaneous expenses for the year, separated by month.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8E2FBDE-7005-4D23-BC65-60268006780D}" name="tblTotals40" displayName="tblTotals40" ref="A94:O96" totalsRowCount="1" headerRowDxfId="634" dataDxfId="633" headerRowCellStyle="Heading 3">
  <tableColumns count="15">
    <tableColumn id="1" xr3:uid="{2CAF829D-316E-4DFD-A964-7C7DD7F7A5B6}" name="TOTALS" totalsRowLabel="Monthly Expenses" dataDxfId="632" totalsRowDxfId="631"/>
    <tableColumn id="2" xr3:uid="{427154E7-5C9B-46D5-A9A7-A41A41E63F1C}" name="JAN" dataDxfId="630" totalsRowDxfId="629">
      <calculatedColumnFormula>tblIncome28[[#Totals],[JAN]]-B94</calculatedColumnFormula>
    </tableColumn>
    <tableColumn id="3" xr3:uid="{C05C8F47-3C77-4647-B7F9-9391B22BD01B}" name="FEB" dataDxfId="628" totalsRowDxfId="627">
      <calculatedColumnFormula>tblIncome28[[#Totals],[FEB]]-C94</calculatedColumnFormula>
    </tableColumn>
    <tableColumn id="4" xr3:uid="{4ED5ABC2-A086-4CC7-A4E9-136346CEEE2C}" name="MAR" dataDxfId="626" totalsRowDxfId="625">
      <calculatedColumnFormula>tblIncome28[[#Totals],[MAR]]-D94</calculatedColumnFormula>
    </tableColumn>
    <tableColumn id="5" xr3:uid="{2F095B67-0AA3-4DA8-8EEA-911D612799CE}" name="APR" dataDxfId="624" totalsRowDxfId="623">
      <calculatedColumnFormula>tblIncome28[[#Totals],[APR]]-E94</calculatedColumnFormula>
    </tableColumn>
    <tableColumn id="6" xr3:uid="{36E40178-6F22-4456-B752-BE43887A08B4}" name="MAY" dataDxfId="622" totalsRowDxfId="621">
      <calculatedColumnFormula>tblIncome28[[#Totals],[MAY]]-F94</calculatedColumnFormula>
    </tableColumn>
    <tableColumn id="7" xr3:uid="{B8DEAA1E-5335-41CE-911D-4730526812DA}" name="JUN" dataDxfId="620" totalsRowDxfId="619">
      <calculatedColumnFormula>tblIncome28[[#Totals],[JUN]]-G94</calculatedColumnFormula>
    </tableColumn>
    <tableColumn id="8" xr3:uid="{29687877-7331-4BD4-B303-C289D8A96B1B}" name="JUL" dataDxfId="618" totalsRowDxfId="617">
      <calculatedColumnFormula>tblIncome28[[#Totals],[JUL]]-H94</calculatedColumnFormula>
    </tableColumn>
    <tableColumn id="9" xr3:uid="{6D41ECA7-BA26-4D5B-BAB3-E2D9343CEA48}" name="AUG" totalsRowFunction="custom" dataDxfId="616" totalsRowDxfId="615">
      <calculatedColumnFormula>SUM(I21,I28,I34,I43,I51,I67,I74,I80,I84)</calculatedColumnFormula>
      <totalsRowFormula xml:space="preserve"> SUM(tblHome29[[#Totals],[AUG]] + tblDaily30[[#Totals],[AUG]] + tblTransportation31[[#Totals],[AUG]] + tblEntertainment32[[#Totals],[AUG]] + tblVacations34[[#Totals],[AUG]]+ tblDues36[[#Totals],[AUG]]+ tblPersonal37[[#Totals],[AUG]])</totalsRowFormula>
    </tableColumn>
    <tableColumn id="10" xr3:uid="{42BBE9EB-0058-4D7D-8E5B-2F3212A70640}" name="SEP" totalsRowFunction="custom" dataDxfId="614" totalsRowDxfId="613">
      <calculatedColumnFormula>SUM(J21,J28,J34,J43,J51,J67,J74,J80,J84)</calculatedColumnFormula>
      <totalsRowFormula xml:space="preserve"> SUM(tblHome29[[#Totals],[SEP]] + tblDaily30[[#Totals],[SEP]] + tblTransportation31[[#Totals],[SEP]] + tblEntertainment32[[#Totals],[SEP]] + tblVacations34[[#Totals],[SEP]]+ tblDues36[[#Totals],[SEP]]+ tblPersonal37[[#Totals],[SEP]])</totalsRowFormula>
    </tableColumn>
    <tableColumn id="11" xr3:uid="{99DB4559-5308-4E4F-BF9F-C4A0C029F140}" name="OCT" totalsRowFunction="custom" dataDxfId="612" totalsRowDxfId="611">
      <calculatedColumnFormula>SUM(tblMisc39[[#Totals],[OCT]],tblFinancial38[[#Totals],[OCT]],tblPersonal37[[#Totals],[OCT]],tblDues36[[#Totals],[OCT]],tblRecreation35[[#Totals],[OCT]],tblVacations34[[#Totals],[OCT]],#REF!,tblEntertainment32[[#Totals],[OCT]],tblTransportation31[[#Totals],[OCT]],tblDaily30[[#Totals],[OCT]],tblHome29[[#Totals],[OCT]])</calculatedColumnFormula>
      <totalsRowFormula xml:space="preserve"> SUM(tblHome29[[#Totals],[OCT]] + tblDaily30[[#Totals],[OCT]] + tblTransportation31[[#Totals],[OCT]] + tblEntertainment32[[#Totals],[OCT]] + tblVacations34[[#Totals],[OCT]]+ tblDues36[[#Totals],[OCT]]+ tblPersonal37[[#Totals],[OCT]])</totalsRowFormula>
    </tableColumn>
    <tableColumn id="12" xr3:uid="{E3B707BD-E7FA-4FA7-8A56-CEE7CD14B5AC}" name="NOV" totalsRowFunction="custom" dataDxfId="610" totalsRowDxfId="609">
      <calculatedColumnFormula>tblIncome28[[#Totals],[NOV]]-L94</calculatedColumnFormula>
      <totalsRowFormula xml:space="preserve"> SUM(tblHome29[[#Totals],[NOV]] + tblDaily30[[#Totals],[NOV]] + tblTransportation31[[#Totals],[NOV]] + tblEntertainment32[[#Totals],[NOV]] + tblVacations34[[#Totals],[NOV]]+ tblDues36[[#Totals],[NOV]]+ tblPersonal37[[#Totals],[NOV]])</totalsRowFormula>
    </tableColumn>
    <tableColumn id="13" xr3:uid="{8910E372-1D39-4BF0-AA4E-CFA75FB08E80}" name="DEC" totalsRowFunction="custom" dataDxfId="608" totalsRowDxfId="607">
      <calculatedColumnFormula>tblIncome28[[#Totals],[DEC]]-M94</calculatedColumnFormula>
      <totalsRowFormula xml:space="preserve"> SUM(tblHome29[[#Totals],[DEC]] + tblDaily30[[#Totals],[DEC]] + tblTransportation31[[#Totals],[DEC]] + tblEntertainment32[[#Totals],[DEC]] + tblVacations34[[#Totals],[DEC]]+ tblDues36[[#Totals],[DEC]]+ tblPersonal37[[#Totals],[DEC]])</totalsRowFormula>
    </tableColumn>
    <tableColumn id="14" xr3:uid="{98E52EFF-6A57-40D4-8C30-932B068DE025}" name="YEAR" totalsRowFunction="custom" dataDxfId="606" totalsRowDxfId="605">
      <calculatedColumnFormula>tblIncome28[[#Totals],[YEAR]]-N94</calculatedColumnFormula>
      <totalsRowFormula xml:space="preserve"> SUM(tblHome29[[#Totals],[YEAR]] + tblDaily30[[#Totals],[YEAR]] + tblTransportation31[[#Totals],[YEAR]] + tblEntertainment32[[#Totals],[YEAR]] + tblVacations34[[#Totals],[YEAR]]+ tblDues36[[#Totals],[YEAR]]+ tblPersonal37[[#Totals],[YEAR]])</totalsRowFormula>
    </tableColumn>
    <tableColumn id="15" xr3:uid="{06459C33-7768-499C-96D2-63076C5F5C1E}" name=" " dataDxfId="604" totalsRowDxfId="60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="Totals" altTextSummary="View your totals for the year, separated by month.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D7E70C1-004A-412B-AD07-B847A1B46EBC}" name="Table15" displayName="Table15" ref="A23:F32" totalsRowShown="0">
  <autoFilter ref="A23:F32" xr:uid="{ED7E70C1-004A-412B-AD07-B847A1B46EBC}"/>
  <tableColumns count="6">
    <tableColumn id="1" xr3:uid="{1B1E604D-F1FE-4071-A40B-93D3A426C60A}" name="Category"/>
    <tableColumn id="2" xr3:uid="{CD622756-BE52-42C8-94FB-0FFC5725C123}" name="Aug" dataDxfId="602"/>
    <tableColumn id="3" xr3:uid="{6C3E0F21-FDEF-430C-A889-BAEBED11A678}" name="Sept" dataDxfId="601"/>
    <tableColumn id="4" xr3:uid="{FB7EC8C8-5C48-461A-AD96-7F37C36C9864}" name="OCT" dataDxfId="600"/>
    <tableColumn id="5" xr3:uid="{41B5AB07-1370-4A27-97C9-D2DF947B3A86}" name="Nov" dataDxfId="599"/>
    <tableColumn id="6" xr3:uid="{49977A06-DE84-4AC9-AAFA-62E429FD07EE}" name="Dec" dataDxfId="598"/>
  </tableColumns>
  <tableStyleInfo name="Personal Budget - Expens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4D58B-A00E-8B40-AE38-B5B1260E3A96}" name="tblIncome28332" displayName="tblIncome28332" ref="A8:O13" totalsRowCount="1" headerRowDxfId="597" dataDxfId="596" totalsRowDxfId="595">
  <tableColumns count="15">
    <tableColumn id="1" xr3:uid="{22553297-58C9-004A-8751-E759D0DD0075}" name="INCOME" totalsRowLabel="Total" dataDxfId="594" totalsRowDxfId="593"/>
    <tableColumn id="2" xr3:uid="{91F4288C-A584-AC48-8673-4AB37DFFCEDA}" name="JAN" totalsRowFunction="sum" dataDxfId="592" totalsRowDxfId="591"/>
    <tableColumn id="3" xr3:uid="{5266E282-85C6-824A-B796-2B23DD65EEC4}" name="FEB" totalsRowFunction="sum" dataDxfId="590" totalsRowDxfId="589"/>
    <tableColumn id="4" xr3:uid="{13904B3E-2856-E741-85D6-F996B647DF90}" name="MAR" totalsRowFunction="sum" dataDxfId="588" totalsRowDxfId="587"/>
    <tableColumn id="5" xr3:uid="{A68622A5-9376-F142-85F3-E67BA5E6CA33}" name="APR" totalsRowFunction="sum" dataDxfId="586" totalsRowDxfId="585"/>
    <tableColumn id="6" xr3:uid="{82CBB43A-E3AC-4A49-94B8-367B8DC17454}" name="MAY" totalsRowFunction="sum" dataDxfId="584" totalsRowDxfId="583"/>
    <tableColumn id="7" xr3:uid="{5E787737-F31A-FA4C-940C-30B69F4DD08C}" name="JUN" totalsRowFunction="sum" dataDxfId="582" totalsRowDxfId="581"/>
    <tableColumn id="8" xr3:uid="{396D0BB0-A725-5F48-BF3C-0A4272BE1276}" name="JUL" totalsRowFunction="sum" dataDxfId="580" totalsRowDxfId="579"/>
    <tableColumn id="9" xr3:uid="{645BE1D9-9642-5344-99D4-C83A5FA77D6F}" name="AUG" totalsRowFunction="sum" dataDxfId="578" totalsRowDxfId="577"/>
    <tableColumn id="10" xr3:uid="{44E41A2C-B257-EB42-A102-83C7C28CAAD2}" name="SEP" totalsRowFunction="sum" dataDxfId="576" totalsRowDxfId="575"/>
    <tableColumn id="11" xr3:uid="{AD832C23-5F7C-5E47-9FE7-E4068BE28491}" name="OCT" totalsRowFunction="sum" dataDxfId="574" totalsRowDxfId="573"/>
    <tableColumn id="12" xr3:uid="{90823232-6C7A-6A4B-BEBB-C5584D658C80}" name="NOV" totalsRowFunction="sum" dataDxfId="572" totalsRowDxfId="571"/>
    <tableColumn id="13" xr3:uid="{D869BFFD-F77E-CA4C-83CE-64223CCFE511}" name="DEC" totalsRowFunction="sum" dataDxfId="570" totalsRowDxfId="569"/>
    <tableColumn id="14" xr3:uid="{14117BE8-C84D-9842-8706-DD45539F7F74}" name="YEAR" totalsRowFunction="sum" dataDxfId="568" totalsRowDxfId="567">
      <calculatedColumnFormula>SUM(tblIncome28332[[#This Row],[JAN]:[DEC]])</calculatedColumnFormula>
    </tableColumn>
    <tableColumn id="15" xr3:uid="{3A2EA1DD-F81F-0941-9384-5CF1758CFDD2}" name="Last Updated on" dataDxfId="566" totalsRowDxfId="565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Income" altTextSummary="Enter your income for the year.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8D5FA7-1BFD-3D49-B1DF-E7701790CFBF}" name="tblHome29413" displayName="tblHome29413" ref="A16:O21" totalsRowCount="1" headerRowDxfId="564" dataDxfId="563" totalsRowDxfId="562">
  <tableColumns count="15">
    <tableColumn id="1" xr3:uid="{434478F1-1D0F-EE4E-A426-D860F473B6E0}" name="HOME" totalsRowLabel="Total" dataDxfId="561" totalsRowDxfId="560"/>
    <tableColumn id="2" xr3:uid="{076AF6D6-7F62-E942-9BF1-7F70FE7D4B9D}" name="JAN" totalsRowFunction="sum" dataDxfId="559" totalsRowDxfId="558"/>
    <tableColumn id="3" xr3:uid="{CA929C64-3353-234B-8344-FAA0C05EC885}" name="FEB" totalsRowFunction="sum" dataDxfId="557" totalsRowDxfId="556"/>
    <tableColumn id="4" xr3:uid="{CD82DC00-EB8F-2142-9938-1072DAFCE99E}" name="MAR" totalsRowFunction="sum" dataDxfId="555" totalsRowDxfId="554"/>
    <tableColumn id="5" xr3:uid="{CE3AF9D4-05BE-BD4A-B0B5-29DE1D62B039}" name="APR" totalsRowFunction="sum" dataDxfId="553" totalsRowDxfId="552"/>
    <tableColumn id="6" xr3:uid="{00ADD85C-2B71-3541-8604-B73F37CD3CF0}" name="MAY" totalsRowFunction="sum" dataDxfId="551" totalsRowDxfId="550"/>
    <tableColumn id="7" xr3:uid="{770DB18C-F672-7C46-82A1-55F491EA4F93}" name="JUN" totalsRowFunction="sum" dataDxfId="549" totalsRowDxfId="548"/>
    <tableColumn id="8" xr3:uid="{DDB7DC96-F5BF-B14A-BE51-F01C5DEBE82C}" name="JUL" totalsRowFunction="sum" dataDxfId="547" totalsRowDxfId="546"/>
    <tableColumn id="9" xr3:uid="{C9E279EF-98BC-144A-8239-328AC99C3002}" name="AUG" totalsRowFunction="sum" dataDxfId="545" totalsRowDxfId="544"/>
    <tableColumn id="10" xr3:uid="{CEB66EA4-F138-EF44-BB34-035F5EE452B6}" name="SEP" totalsRowFunction="sum" dataDxfId="543" totalsRowDxfId="542"/>
    <tableColumn id="11" xr3:uid="{0D9E4D5E-50AC-8047-A380-1120FB79B916}" name="OCT" totalsRowFunction="sum" dataDxfId="541" totalsRowDxfId="540"/>
    <tableColumn id="12" xr3:uid="{8F5E5AB3-E297-CD40-BBA8-7C7DA11FD0ED}" name="NOV" totalsRowFunction="sum" dataDxfId="539" totalsRowDxfId="538"/>
    <tableColumn id="13" xr3:uid="{3027741B-478D-9C4A-AEB4-EBD4D9DED477}" name="DEC" totalsRowFunction="sum" dataDxfId="537" totalsRowDxfId="536"/>
    <tableColumn id="14" xr3:uid="{F40D33AB-9DD2-DD48-B92F-A462C81BE820}" name="YEAR" totalsRowFunction="sum" dataDxfId="535" totalsRowDxfId="534">
      <calculatedColumnFormula>SUM(tblHome29413[[#This Row],[JAN]:[DEC]])</calculatedColumnFormula>
    </tableColumn>
    <tableColumn id="15" xr3:uid="{52F34B29-7E75-7547-8901-E54FDC670BDE}" name="Last Updated on" dataDxfId="533" totalsRowDxfId="532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Home Expenses" altTextSummary="Enter your home expenses for the year, separated by month.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39E9BB-EE03-594E-9657-F988A1F9F675}" name="tblDaily30424" displayName="tblDaily30424" ref="A23:O28" totalsRowCount="1" headerRowDxfId="531" dataDxfId="530" totalsRowDxfId="529">
  <tableColumns count="15">
    <tableColumn id="1" xr3:uid="{85AD5780-218D-4744-BCF0-0472B931D286}" name="DAILY LIVING" totalsRowLabel="Total" dataDxfId="528" totalsRowDxfId="527"/>
    <tableColumn id="2" xr3:uid="{DE81D3C1-7DAA-DB40-8063-8DE74E5C78BA}" name="JAN" totalsRowFunction="sum" dataDxfId="526" totalsRowDxfId="525"/>
    <tableColumn id="3" xr3:uid="{B903BE9C-C486-A84F-9799-B7CB9CB64815}" name="FEB" totalsRowFunction="sum" dataDxfId="524" totalsRowDxfId="523"/>
    <tableColumn id="4" xr3:uid="{BB612511-4E5F-5F44-B883-4B23EB25B35C}" name="MAR" totalsRowFunction="sum" dataDxfId="522" totalsRowDxfId="521"/>
    <tableColumn id="5" xr3:uid="{573011C5-8178-A340-BCBC-225189A7054D}" name="APR" totalsRowFunction="sum" dataDxfId="520" totalsRowDxfId="519"/>
    <tableColumn id="6" xr3:uid="{04C68805-F663-C148-8999-998DC7E9EFB9}" name="MAY" totalsRowFunction="sum" dataDxfId="518" totalsRowDxfId="517"/>
    <tableColumn id="7" xr3:uid="{FBAEE126-4AEE-1B4C-95B8-65F4096156ED}" name="JUN" totalsRowFunction="sum" dataDxfId="516" totalsRowDxfId="515"/>
    <tableColumn id="8" xr3:uid="{10960EBE-006F-804A-B4E8-CE1271E4A44E}" name="JUL" totalsRowFunction="sum" dataDxfId="514" totalsRowDxfId="513"/>
    <tableColumn id="9" xr3:uid="{A3865AFB-C22F-F84C-B6D8-ABCE5E60F7A8}" name="AUG" totalsRowFunction="sum" dataDxfId="512" totalsRowDxfId="511"/>
    <tableColumn id="10" xr3:uid="{F9D3A59F-8EA9-A349-A758-0812FC28E6EF}" name="SEP" totalsRowFunction="sum" dataDxfId="510" totalsRowDxfId="509"/>
    <tableColumn id="11" xr3:uid="{A823124A-E99C-C44B-ACE9-450619508482}" name="OCT" totalsRowFunction="sum" dataDxfId="508" totalsRowDxfId="507"/>
    <tableColumn id="12" xr3:uid="{3B7DA94B-EF2C-3D41-8849-88C029A6117E}" name="NOV" totalsRowFunction="sum" dataDxfId="506" totalsRowDxfId="505"/>
    <tableColumn id="13" xr3:uid="{680EEEBB-1749-D944-B2E8-FF799A20B3A6}" name="DEC" totalsRowFunction="sum" dataDxfId="504" totalsRowDxfId="503"/>
    <tableColumn id="14" xr3:uid="{C4E58EA7-01DD-B348-AD9C-94FCB0A011D2}" name="YEAR" totalsRowFunction="sum" dataDxfId="502" totalsRowDxfId="501">
      <calculatedColumnFormula>SUM(tblDaily30424[[#This Row],[JAN]:[DEC]])</calculatedColumnFormula>
    </tableColumn>
    <tableColumn id="15" xr3:uid="{03455183-8A0A-7D4D-BC80-E8A1C847DE1C}" name="Last Updated on" dataDxfId="500" totalsRowDxfId="499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Daily Living Expenses" altTextSummary="Enter your daily living expenses for the year, separated by month.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73B2C-FCB5-374C-90C0-D2C7597AFAC5}" name="tblTransportation31435" displayName="tblTransportation31435" ref="A30:O34" totalsRowCount="1" headerRowDxfId="498" dataDxfId="497" totalsRowDxfId="496">
  <tableColumns count="15">
    <tableColumn id="1" xr3:uid="{62E6DC8D-8D1F-524F-971D-8C44E572E5EF}" name="TRANSPORTATION" totalsRowLabel="Total" dataDxfId="495" totalsRowDxfId="494"/>
    <tableColumn id="2" xr3:uid="{4D2BA38A-0750-1C4F-943A-88D1149D15F8}" name="JAN" totalsRowFunction="sum" dataDxfId="493" totalsRowDxfId="492"/>
    <tableColumn id="3" xr3:uid="{286F6875-08D9-5146-AEC1-4A76169C6297}" name="FEB" totalsRowFunction="sum" dataDxfId="491" totalsRowDxfId="490"/>
    <tableColumn id="4" xr3:uid="{FC5C7768-DEB3-AE4B-815B-8C8708587B35}" name="MAR" totalsRowFunction="sum" dataDxfId="489" totalsRowDxfId="488"/>
    <tableColumn id="5" xr3:uid="{05679855-6C52-404C-9036-470328CE2735}" name="APR" totalsRowFunction="sum" dataDxfId="487" totalsRowDxfId="486"/>
    <tableColumn id="6" xr3:uid="{BC0D2CD1-C277-5948-90D8-3EE86F78073A}" name="MAY" totalsRowFunction="sum" dataDxfId="485" totalsRowDxfId="484"/>
    <tableColumn id="7" xr3:uid="{59970863-954B-E641-B2E4-E37FFB6E0363}" name="JUN" totalsRowFunction="sum" dataDxfId="483" totalsRowDxfId="482"/>
    <tableColumn id="8" xr3:uid="{E711CF76-7E26-E349-BA3F-45B13B8255F9}" name="JUL" totalsRowFunction="sum" dataDxfId="481" totalsRowDxfId="480"/>
    <tableColumn id="9" xr3:uid="{2D8FCBE4-FD37-E841-8B9F-3C1A2A76942A}" name="AUG" totalsRowFunction="sum" dataDxfId="479" totalsRowDxfId="478"/>
    <tableColumn id="10" xr3:uid="{D5CCFDA2-DEA9-1A47-AF4B-DEA4F1978D6A}" name="SEP" totalsRowFunction="sum" dataDxfId="477" totalsRowDxfId="476"/>
    <tableColumn id="11" xr3:uid="{BB75BF01-2C3F-2449-85A6-215D5ADC033B}" name="OCT" totalsRowFunction="sum" dataDxfId="475" totalsRowDxfId="474"/>
    <tableColumn id="12" xr3:uid="{CCD262AD-B126-1741-BB70-96B03E7D13D7}" name="NOV" totalsRowFunction="sum" dataDxfId="473" totalsRowDxfId="472"/>
    <tableColumn id="13" xr3:uid="{7564CBF9-7C4F-F541-8E9F-2159F6F8591E}" name="DEC" totalsRowFunction="sum" dataDxfId="471" totalsRowDxfId="470"/>
    <tableColumn id="14" xr3:uid="{1716AAF5-54E7-044B-9E99-ECA7E922A93C}" name="YEAR" totalsRowFunction="sum" dataDxfId="469" totalsRowDxfId="468">
      <calculatedColumnFormula>SUM(tblTransportation31435[[#This Row],[JAN]:[DEC]])</calculatedColumnFormula>
    </tableColumn>
    <tableColumn id="15" xr3:uid="{DF1C89BC-1581-754E-A8F7-305136541A52}" name="Last Updated on" dataDxfId="467" totalsRowDxfId="466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Transportation expenses" altTextSummary="Enter your transportation expenses for the year, separated by month.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02E5EA-D759-7640-AC8C-07582E135A7E}" name="tblEntertainment32446" displayName="tblEntertainment32446" ref="A36:P43" totalsRowCount="1" headerRowDxfId="465" dataDxfId="464" totalsRowDxfId="463">
  <tableColumns count="16">
    <tableColumn id="1" xr3:uid="{663E96D2-39F9-6A4A-9723-8B21797CDDAE}" name="Credit Card" totalsRowLabel="Total" dataDxfId="462" totalsRowDxfId="461"/>
    <tableColumn id="2" xr3:uid="{45C8FA80-A83A-1043-A00B-136CF41E6062}" name="JAN" totalsRowFunction="sum" dataDxfId="460" totalsRowDxfId="459"/>
    <tableColumn id="3" xr3:uid="{C292A5D3-56FC-7E45-ABCF-9988C4454B83}" name="FEB" totalsRowFunction="sum" dataDxfId="458" totalsRowDxfId="457"/>
    <tableColumn id="4" xr3:uid="{ED0B2C23-713C-3445-976D-1C3C9FE0D660}" name="MAR" totalsRowFunction="sum" dataDxfId="456" totalsRowDxfId="455"/>
    <tableColumn id="5" xr3:uid="{AF69273C-97CE-E140-B117-E82366B2DCEA}" name="APR" totalsRowFunction="sum" dataDxfId="454" totalsRowDxfId="453"/>
    <tableColumn id="6" xr3:uid="{97173080-F7AD-474F-BC90-3E121CE15AF7}" name="MAY" totalsRowFunction="sum" dataDxfId="452" totalsRowDxfId="451"/>
    <tableColumn id="7" xr3:uid="{4B52D73D-79A9-514E-A017-C49464140C55}" name="JUN" totalsRowFunction="sum" dataDxfId="450" totalsRowDxfId="449"/>
    <tableColumn id="8" xr3:uid="{15CED34F-4D61-E94B-BDF2-82EBD9EA1CDC}" name="JUL" totalsRowFunction="sum" dataDxfId="448" totalsRowDxfId="447"/>
    <tableColumn id="9" xr3:uid="{4145308E-C2DF-BB48-A23D-BBEA6726DD38}" name="AUG" totalsRowFunction="sum" dataDxfId="446" totalsRowDxfId="445"/>
    <tableColumn id="10" xr3:uid="{19AA13DE-B4B9-4547-95B6-AC584A561988}" name="SEP" totalsRowFunction="sum" dataDxfId="444" totalsRowDxfId="443"/>
    <tableColumn id="11" xr3:uid="{CCE76066-B45D-AE46-894C-FAE6B02DE6E8}" name="OCT" totalsRowFunction="sum" dataDxfId="442" totalsRowDxfId="441"/>
    <tableColumn id="12" xr3:uid="{3BED10F4-BC1E-7F46-9ED0-4BEC7ECAE677}" name="NOV" totalsRowFunction="sum" dataDxfId="440" totalsRowDxfId="439"/>
    <tableColumn id="13" xr3:uid="{099519E7-1BE3-054C-8276-78FE1DEA6D82}" name="DEC" totalsRowFunction="sum" dataDxfId="438" totalsRowDxfId="437"/>
    <tableColumn id="14" xr3:uid="{8CB6F7DC-24DF-BA4A-B577-085F43BB0CEC}" name="YEAR" totalsRowFunction="sum" dataDxfId="436" totalsRowDxfId="435">
      <calculatedColumnFormula>SUM(tblEntertainment32446[[#This Row],[JAN]:[DEC]])</calculatedColumnFormula>
    </tableColumn>
    <tableColumn id="15" xr3:uid="{5A05F8D5-3CC5-5042-8F5B-D51A63EB3B23}" name="Last Updated on" dataDxfId="434" totalsRowDxfId="433"/>
    <tableColumn id="16" xr3:uid="{9414945D-7B75-3E4D-9B2C-F1813335485E}" name="Balance" totalsRowFunction="custom" dataDxfId="432" totalsRowDxfId="431">
      <totalsRowFormula>SUM(tblEntertainment32446[Balance])</totalsRowFormula>
    </tableColumn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Entertainment Expenses" altTextSummary="Enter your entertainment expenses for the year, separated by month.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F6486E-8AF6-B848-A4C6-27EF4D5D538F}" name="tblVacations34457" displayName="tblVacations34457" ref="A45:O51" totalsRowCount="1" headerRowDxfId="430" dataDxfId="429" totalsRowDxfId="428">
  <tableColumns count="15">
    <tableColumn id="1" xr3:uid="{46FEB4B1-A33D-0740-98B4-2C70B326ED85}" name="VACATIONS" totalsRowLabel="Total" dataDxfId="427" totalsRowDxfId="426"/>
    <tableColumn id="2" xr3:uid="{CD8525D0-8FBF-CB44-8A14-A7227336AB54}" name="JAN" totalsRowFunction="sum" dataDxfId="425" totalsRowDxfId="424"/>
    <tableColumn id="3" xr3:uid="{9CD6EBBF-9A9F-8F43-B2A7-5B3263917EF4}" name="FEB" totalsRowFunction="sum" dataDxfId="423" totalsRowDxfId="422"/>
    <tableColumn id="4" xr3:uid="{8D4A20C7-4375-6F47-B5A5-4A343FC288C2}" name="MAR" totalsRowFunction="sum" dataDxfId="421" totalsRowDxfId="420"/>
    <tableColumn id="5" xr3:uid="{D8084685-2ACE-6B4A-8889-324A53EE1D94}" name="APR" totalsRowFunction="sum" dataDxfId="419" totalsRowDxfId="418"/>
    <tableColumn id="6" xr3:uid="{6D18B251-D368-A946-AAED-E8C98EF19F7B}" name="MAY" totalsRowFunction="sum" dataDxfId="417" totalsRowDxfId="416"/>
    <tableColumn id="7" xr3:uid="{E6064BC4-3C62-C240-9917-92F626B2A2AE}" name="JUN" totalsRowFunction="sum" dataDxfId="415" totalsRowDxfId="414"/>
    <tableColumn id="8" xr3:uid="{27AB6A18-5C4E-8446-A205-7AC6ECAD5CAD}" name="JUL" totalsRowFunction="sum" dataDxfId="413" totalsRowDxfId="412"/>
    <tableColumn id="9" xr3:uid="{FC986211-AECC-B748-8D78-B4F4C47FB6A2}" name="AUG" totalsRowFunction="custom" dataDxfId="411" totalsRowDxfId="410">
      <totalsRowFormula>SUM(tblVacations34457[AUG])</totalsRowFormula>
    </tableColumn>
    <tableColumn id="10" xr3:uid="{A7E1B9B9-2555-5849-BEE5-98110C13DDBF}" name="SEP" totalsRowFunction="sum" dataDxfId="409" totalsRowDxfId="408"/>
    <tableColumn id="11" xr3:uid="{2B37E1DB-9181-7E45-94A8-FF5B6A698E2B}" name="OCT" totalsRowFunction="sum" dataDxfId="407" totalsRowDxfId="406"/>
    <tableColumn id="12" xr3:uid="{74497434-C716-934C-B08E-6F2183D8A696}" name="NOV" totalsRowFunction="sum" dataDxfId="405" totalsRowDxfId="404"/>
    <tableColumn id="13" xr3:uid="{BE736B10-20A0-754B-938C-183B3E066CE0}" name="DEC" totalsRowFunction="sum" dataDxfId="403" totalsRowDxfId="402"/>
    <tableColumn id="14" xr3:uid="{7F4CF9FA-C19D-A741-B9DA-2C2AAADDE5F9}" name="YEAR" totalsRowFunction="sum" dataDxfId="401" totalsRowDxfId="400">
      <calculatedColumnFormula>SUM(tblVacations34457[[#This Row],[JAN]:[DEC]])</calculatedColumnFormula>
    </tableColumn>
    <tableColumn id="15" xr3:uid="{25E3050F-2006-9147-899F-054931653062}" name="Last Updated on" dataDxfId="399" totalsRowDxfId="398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Vacation Expenses" altTextSummary="Enter your vacation expenses for the year, separated by month."/>
    </ext>
  </extLst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9CF0E3-CDCA-824F-80CB-209D5E813578}" name="tblRecreation35468" displayName="tblRecreation35468" ref="A53:Q63" totalsRowCount="1" headerRowDxfId="397" dataDxfId="396" totalsRowDxfId="395">
  <tableColumns count="17">
    <tableColumn id="1" xr3:uid="{F219A640-93A4-554B-996B-61598D30CFB0}" name="Investment" totalsRowLabel="Total" dataDxfId="394" totalsRowDxfId="393"/>
    <tableColumn id="2" xr3:uid="{C1033DA8-C89B-564F-BC82-00A90EDB2F5A}" name="JAN" totalsRowFunction="sum" dataDxfId="392" totalsRowDxfId="391"/>
    <tableColumn id="3" xr3:uid="{522896CB-A57B-9C4C-B1C0-A8E7B7C2AF8B}" name="FEB" totalsRowFunction="sum" dataDxfId="390" totalsRowDxfId="389"/>
    <tableColumn id="4" xr3:uid="{8EE9365C-4559-F644-9099-29E02BE5744A}" name="MAR" totalsRowFunction="sum" dataDxfId="388" totalsRowDxfId="387"/>
    <tableColumn id="5" xr3:uid="{3C18CF12-7BFC-E34D-AD27-BC6E1E9441CB}" name="APR" totalsRowFunction="sum" dataDxfId="386" totalsRowDxfId="385"/>
    <tableColumn id="6" xr3:uid="{39A6791D-FCEA-A641-8B16-29A42F9EA92E}" name="MAY" totalsRowFunction="sum" dataDxfId="384" totalsRowDxfId="383"/>
    <tableColumn id="7" xr3:uid="{6D3B3E4A-FE8E-8A4A-B34C-0E99F4829EAC}" name="JUN" totalsRowFunction="sum" dataDxfId="382" totalsRowDxfId="381"/>
    <tableColumn id="8" xr3:uid="{904BB89E-28C6-D94A-B4EA-C0530224C84E}" name="JUL" totalsRowFunction="sum" dataDxfId="380" totalsRowDxfId="379"/>
    <tableColumn id="9" xr3:uid="{9CD64632-1A74-9246-8777-FFF7AFF98E78}" name="AUG" totalsRowFunction="sum" dataDxfId="378" totalsRowDxfId="377"/>
    <tableColumn id="10" xr3:uid="{AB3AB763-91C6-0E4E-B14C-CFAF80EB9DE2}" name="SEP" totalsRowFunction="sum" dataDxfId="376" totalsRowDxfId="375"/>
    <tableColumn id="11" xr3:uid="{3DDA5BF0-7B8D-1B46-9375-03707D2C6268}" name="OCT" totalsRowFunction="sum" dataDxfId="374" totalsRowDxfId="373"/>
    <tableColumn id="12" xr3:uid="{5C1660CA-FA26-DA4E-BB03-A2B339138E1A}" name="NOV" totalsRowFunction="sum" dataDxfId="372" totalsRowDxfId="371"/>
    <tableColumn id="13" xr3:uid="{90DE7D0A-87A2-BD4E-BC11-EFC50CD3FDAF}" name="DEC" totalsRowFunction="sum" dataDxfId="370" totalsRowDxfId="369"/>
    <tableColumn id="18" xr3:uid="{49D92378-49D5-8B4F-9375-364EFCA501A8}" name="Current Value" totalsRowFunction="custom" dataDxfId="368" totalsRowDxfId="367">
      <totalsRowFormula>SUM(tblRecreation35468[Current Value])</totalsRowFormula>
    </tableColumn>
    <tableColumn id="16" xr3:uid="{BDDBC7A9-F5B3-C146-AAE9-C48F8AF57C48}" name="Invested Total" totalsRowFunction="custom" dataDxfId="366" totalsRowDxfId="365">
      <calculatedColumnFormula>SUM(tblRecreation35468[[#This Row],[JAN]:[DEC]])</calculatedColumnFormula>
      <totalsRowFormula>SUM(tblRecreation35468[Invested Total])</totalsRowFormula>
    </tableColumn>
    <tableColumn id="14" xr3:uid="{C6B5A68C-9F1F-E049-B96B-83F2726113ED}" name="YEAR" totalsRowFunction="sum" dataDxfId="364" totalsRowDxfId="363">
      <calculatedColumnFormula>SUM(tblRecreation35468[[#This Row],[JAN]:[DEC]])</calculatedColumnFormula>
    </tableColumn>
    <tableColumn id="15" xr3:uid="{290273CF-D1F4-D343-8412-EDF5DA628B55}" name="Last Updated on" dataDxfId="362" totalsRowDxfId="361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Recreation Expenses" altTextSummary="Enter your recreation expenses for the year, separated by month."/>
    </ext>
  </extLst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1860EE-CD8E-F544-9610-EE49059101D1}" name="tblDues36479" displayName="tblDues36479" ref="A65:O69" totalsRowCount="1" headerRowDxfId="360" dataDxfId="359" totalsRowDxfId="358">
  <tableColumns count="15">
    <tableColumn id="1" xr3:uid="{17EE6F23-E5A6-1345-89B6-78AAFDDF5832}" name="DUES/SUBSCRIPTION" totalsRowLabel="Total" dataDxfId="357" totalsRowDxfId="356"/>
    <tableColumn id="2" xr3:uid="{69ADECC4-6DA3-0E45-BC10-9D55844C0277}" name="JAN" totalsRowFunction="sum" dataDxfId="355" totalsRowDxfId="354"/>
    <tableColumn id="3" xr3:uid="{A015E919-E0F7-1F41-B446-AB0494EE0F8D}" name="FEB" totalsRowFunction="sum" dataDxfId="353" totalsRowDxfId="352"/>
    <tableColumn id="4" xr3:uid="{C66A150D-C278-754A-8177-49ACEAC3C744}" name="MAR" totalsRowFunction="sum" dataDxfId="351" totalsRowDxfId="350"/>
    <tableColumn id="5" xr3:uid="{9773CA88-50A3-2D49-9A82-379D58AFC8ED}" name="APR" totalsRowFunction="sum" dataDxfId="349" totalsRowDxfId="348"/>
    <tableColumn id="6" xr3:uid="{83659BEE-C75A-5C48-AED6-84F982EC6F06}" name="MAY" totalsRowFunction="sum" dataDxfId="347" totalsRowDxfId="346"/>
    <tableColumn id="7" xr3:uid="{6ED26355-FA29-0E47-BCA2-822E7E31A440}" name="JUN" totalsRowFunction="sum" dataDxfId="345" totalsRowDxfId="344"/>
    <tableColumn id="8" xr3:uid="{8C9A4A1C-ABC0-214A-9970-F606ACF642EC}" name="JUL" totalsRowFunction="sum" dataDxfId="343" totalsRowDxfId="342"/>
    <tableColumn id="9" xr3:uid="{FFEDB5D4-238E-0B4A-BCD9-29430CCD9EE3}" name="AUG" totalsRowFunction="sum" dataDxfId="341" totalsRowDxfId="340"/>
    <tableColumn id="10" xr3:uid="{F95D3600-4E82-6045-BE0D-317488DAD39E}" name="SEP" totalsRowFunction="sum" dataDxfId="339" totalsRowDxfId="338"/>
    <tableColumn id="11" xr3:uid="{81BAF1A3-29F2-AC4A-8D60-C93C9F9CF5C4}" name="OCT" totalsRowFunction="sum" dataDxfId="337" totalsRowDxfId="336"/>
    <tableColumn id="12" xr3:uid="{5B74ED1C-B11D-644C-8F2D-DC80E36A1C6D}" name="NOV" totalsRowFunction="sum" dataDxfId="335" totalsRowDxfId="334"/>
    <tableColumn id="13" xr3:uid="{73E16328-8ED7-4147-92E6-A1E1D30AF098}" name="DEC" totalsRowFunction="sum" dataDxfId="333" totalsRowDxfId="332"/>
    <tableColumn id="14" xr3:uid="{B69A80E5-32D7-DF49-8486-3D29B2F526B0}" name="YEAR" totalsRowFunction="sum" dataDxfId="331" totalsRowDxfId="330">
      <calculatedColumnFormula>SUM(tblDues36479[[#This Row],[JAN]:[DEC]])</calculatedColumnFormula>
    </tableColumn>
    <tableColumn id="15" xr3:uid="{6380D251-7E59-C747-B7BA-EC427D01F85F}" name="Last Updated on" dataDxfId="329" totalsRowDxfId="328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Dues &amp; Subscription Expenses" altTextSummary="Enter your dues &amp; subscription expenses for the year, separated by month."/>
    </ext>
  </extLst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5695A33-40C2-7541-B5A3-9AC98163AC24}" name="tblPersonal374810" displayName="tblPersonal374810" ref="A71:O76" totalsRowCount="1" headerRowDxfId="327" dataDxfId="326" totalsRowDxfId="325">
  <tableColumns count="15">
    <tableColumn id="1" xr3:uid="{34FD7B00-7B73-4343-88EA-323F2ADA2750}" name="PERSONAL" totalsRowLabel="Total" dataDxfId="324" totalsRowDxfId="323"/>
    <tableColumn id="2" xr3:uid="{5F048F84-C2B1-7949-AF0F-5CE97EA6A25E}" name="JAN" totalsRowFunction="sum" dataDxfId="322" totalsRowDxfId="321"/>
    <tableColumn id="3" xr3:uid="{CA402720-DDE5-674A-9EB4-15B7B2883AAB}" name="FEB" totalsRowFunction="sum" dataDxfId="320" totalsRowDxfId="319"/>
    <tableColumn id="4" xr3:uid="{27EDF345-9E32-E94A-BCC3-F0A26B707B14}" name="MAR" totalsRowFunction="sum" dataDxfId="318" totalsRowDxfId="317"/>
    <tableColumn id="5" xr3:uid="{8C9ECFB8-9A55-DF48-9149-9D1C95BDE037}" name="APR" totalsRowFunction="sum" dataDxfId="316" totalsRowDxfId="315"/>
    <tableColumn id="6" xr3:uid="{EEFA77FE-4369-4B44-977B-A9720EF4343C}" name="MAY" totalsRowFunction="sum" dataDxfId="314" totalsRowDxfId="313"/>
    <tableColumn id="7" xr3:uid="{FFC9BEC4-D820-7B46-BBFA-F8DE05FCFC4B}" name="JUN" totalsRowFunction="sum" dataDxfId="312" totalsRowDxfId="311"/>
    <tableColumn id="8" xr3:uid="{17AAB5C9-4BE9-6542-9C29-E2504F31BB88}" name="JUL" totalsRowFunction="sum" dataDxfId="310" totalsRowDxfId="309"/>
    <tableColumn id="9" xr3:uid="{F1CEB89E-BE0E-FA4F-90CC-8FFD80FFE08D}" name="AUG" totalsRowFunction="sum" dataDxfId="308" totalsRowDxfId="307"/>
    <tableColumn id="10" xr3:uid="{DF5C18B5-B4DC-7F44-81C7-6DEEBFE74762}" name="SEP" totalsRowFunction="sum" dataDxfId="306" totalsRowDxfId="305"/>
    <tableColumn id="11" xr3:uid="{46E27DA6-A9B6-884B-B79A-0F755B2330A9}" name="OCT" totalsRowFunction="sum" dataDxfId="304" totalsRowDxfId="303"/>
    <tableColumn id="12" xr3:uid="{B736A6C9-C212-D148-A4D9-0830AFEF1D1A}" name="NOV" totalsRowFunction="sum" dataDxfId="302" totalsRowDxfId="301"/>
    <tableColumn id="13" xr3:uid="{30175982-A01B-D143-B4DE-8FF7875822E3}" name="DEC" totalsRowFunction="sum" dataDxfId="300" totalsRowDxfId="299"/>
    <tableColumn id="14" xr3:uid="{BED9CF08-1B41-6346-AD0C-2C8B8D8268F2}" name="YEAR" totalsRowFunction="sum" dataDxfId="298" totalsRowDxfId="297">
      <calculatedColumnFormula>SUM(tblPersonal374810[[#This Row],[JAN]:[DEC]])</calculatedColumnFormula>
    </tableColumn>
    <tableColumn id="15" xr3:uid="{19F1611B-B9F2-6D45-A869-874F2A75B063}" name="Last Updated on" dataDxfId="296" totalsRowDxfId="295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Personal Expenses" altTextSummary="Enter your personal expenses for the year, separated by month."/>
    </ext>
  </extLst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F868A2-2C1E-724F-9D78-72FFA49B050C}" name="tblFinancial384911" displayName="tblFinancial384911" ref="A78:P83" totalsRowCount="1" headerRowDxfId="294" dataDxfId="293" totalsRowDxfId="292">
  <tableColumns count="16">
    <tableColumn id="1" xr3:uid="{EEBCF897-9FE0-544F-920F-766E13D01CC5}" name="FINANCIAL OBLIGATIONS" totalsRowLabel="Total" dataDxfId="291" totalsRowDxfId="290"/>
    <tableColumn id="2" xr3:uid="{5A656E78-2DB6-0049-826A-067697162379}" name="JAN" totalsRowFunction="sum" dataDxfId="289" totalsRowDxfId="288"/>
    <tableColumn id="3" xr3:uid="{23C34881-EFA6-4B40-9A27-9DDD7549D836}" name="FEB" totalsRowFunction="sum" dataDxfId="287" totalsRowDxfId="286"/>
    <tableColumn id="4" xr3:uid="{17C70AC5-4F9D-D543-9859-2DFDDAABBEB6}" name="MAR" totalsRowFunction="sum" dataDxfId="285" totalsRowDxfId="284"/>
    <tableColumn id="5" xr3:uid="{0AE04A7A-8BB7-9C4E-B5E6-4F775224C1AB}" name="APR" totalsRowFunction="sum" dataDxfId="283" totalsRowDxfId="282"/>
    <tableColumn id="6" xr3:uid="{DD998098-EAA2-BB41-8B68-D3F37F02A8AF}" name="MAY" totalsRowFunction="sum" dataDxfId="281" totalsRowDxfId="280"/>
    <tableColumn id="7" xr3:uid="{7DD51C8B-36CE-7A44-A349-5929A3FD949D}" name="JUN" totalsRowFunction="sum" dataDxfId="279" totalsRowDxfId="278"/>
    <tableColumn id="8" xr3:uid="{151E42A2-8100-584C-9700-AFB1D62E8AE5}" name="JUL" totalsRowFunction="sum" dataDxfId="277" totalsRowDxfId="276"/>
    <tableColumn id="9" xr3:uid="{92E4BBA7-E618-3C4F-A071-9D697FC2914D}" name="AUG" totalsRowFunction="sum" dataDxfId="275" totalsRowDxfId="274"/>
    <tableColumn id="10" xr3:uid="{C375F2E6-8E3A-FC48-ACC1-A615D076B96F}" name="SEP" totalsRowFunction="sum" dataDxfId="273" totalsRowDxfId="272"/>
    <tableColumn id="11" xr3:uid="{9AE228C1-2968-294F-80B4-ECD1CCDE4FE2}" name="OCT" totalsRowFunction="sum" dataDxfId="271" totalsRowDxfId="270"/>
    <tableColumn id="12" xr3:uid="{71BBFBE4-2B89-144C-B0E9-399BD785EF25}" name="NOV" totalsRowFunction="sum" dataDxfId="269" totalsRowDxfId="268"/>
    <tableColumn id="13" xr3:uid="{F631E3B7-2342-6548-A514-077C0D6CB7CC}" name="DEC" totalsRowFunction="sum" dataDxfId="267" totalsRowDxfId="266"/>
    <tableColumn id="14" xr3:uid="{9ACA29AF-B3A3-A944-B037-4268009764A8}" name="YEAR" totalsRowFunction="sum" dataDxfId="265" totalsRowDxfId="264">
      <calculatedColumnFormula>SUM(tblFinancial384911[[#This Row],[JAN]:[DEC]])</calculatedColumnFormula>
    </tableColumn>
    <tableColumn id="15" xr3:uid="{D301D015-1F0E-3248-B77A-CAFA6733B2A5}" name="Last Updated on" dataDxfId="263" totalsRowDxfId="262"/>
    <tableColumn id="16" xr3:uid="{E757DB0C-94BF-1C4E-A370-67DDB7CB4C07}" name="Column1" dataDxfId="261" totalsRowDxfId="260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Financial Expenses" altTextSummary="Enter your financial expenses for the year, separated by month."/>
    </ext>
  </extLst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4468C3-ABA3-3F4B-9C3F-3038BA14031A}" name="tblMisc395012" displayName="tblMisc395012" ref="A85:O87" totalsRowCount="1" headerRowDxfId="259" dataDxfId="258" totalsRowDxfId="257">
  <tableColumns count="15">
    <tableColumn id="1" xr3:uid="{B849BA62-96CC-114F-8B55-9FD62AA0266A}" name="MISC PAYMENTS" totalsRowLabel="Total" totalsRowDxfId="256"/>
    <tableColumn id="2" xr3:uid="{5C8BE006-2A05-B34C-9590-71648484908A}" name="JAN" totalsRowFunction="sum" totalsRowDxfId="255"/>
    <tableColumn id="3" xr3:uid="{3955C165-60AD-D64C-8EFE-B832E3D80739}" name="FEB" totalsRowFunction="sum" totalsRowDxfId="254"/>
    <tableColumn id="4" xr3:uid="{90DD416C-EB82-114D-BF8B-2C0ABA8171A2}" name="MAR" totalsRowFunction="sum" totalsRowDxfId="253"/>
    <tableColumn id="5" xr3:uid="{5896609D-737D-9B46-AC0B-992A76D4DF66}" name="APR" totalsRowFunction="sum" totalsRowDxfId="252"/>
    <tableColumn id="6" xr3:uid="{3F28B451-00A9-5F4E-8510-35CD36AEEF48}" name="MAY" totalsRowFunction="sum" totalsRowDxfId="251"/>
    <tableColumn id="7" xr3:uid="{844A0A47-9D15-614B-BC1D-843E1226D77A}" name="JUN" totalsRowFunction="sum" totalsRowDxfId="250"/>
    <tableColumn id="8" xr3:uid="{5FEC70A5-200D-344C-B9AC-2425E4CB7823}" name="JUL" totalsRowFunction="sum" totalsRowDxfId="249"/>
    <tableColumn id="9" xr3:uid="{0463EB80-4B1D-D347-B813-A75507B9B27F}" name="AUG" totalsRowFunction="sum" totalsRowDxfId="248"/>
    <tableColumn id="10" xr3:uid="{BDAFA463-292F-A149-AC03-7620B4C579A8}" name="SEP" totalsRowFunction="sum" totalsRowDxfId="247"/>
    <tableColumn id="11" xr3:uid="{8D5E3488-8CD2-674B-AEF8-52124B217A27}" name="OCT" totalsRowFunction="sum" totalsRowDxfId="246"/>
    <tableColumn id="12" xr3:uid="{2FBDC368-46A4-1849-AB25-CA65C25B5D46}" name="NOV" totalsRowFunction="sum" totalsRowDxfId="245"/>
    <tableColumn id="13" xr3:uid="{CFED9850-672A-A640-9EBA-3AA015AA6030}" name="DEC" totalsRowFunction="sum" totalsRowDxfId="244"/>
    <tableColumn id="14" xr3:uid="{8FA45235-E42B-1145-810C-F5DCCDB59BAE}" name="YEAR" totalsRowFunction="sum" totalsRowDxfId="243">
      <calculatedColumnFormula>SUM(tblMisc395012[[#This Row],[JAN]:[DEC]])</calculatedColumnFormula>
    </tableColumn>
    <tableColumn id="15" xr3:uid="{AEEFDA2B-656F-774F-9D73-8F25DD5B82A4}" name="Last Updated on" dataDxfId="242" totalsRowDxfId="241"/>
  </tableColumns>
  <tableStyleInfo name="Table Style 1" showFirstColumn="0" showLastColumn="0" showRowStripes="0" showColumnStripes="1"/>
  <extLst>
    <ext xmlns:x14="http://schemas.microsoft.com/office/spreadsheetml/2009/9/main" uri="{504A1905-F514-4f6f-8877-14C23A59335A}">
      <x14:table altText="Misc Expenses" altTextSummary="Enter your miscellaneous expenses for the year, separated by month."/>
    </ext>
  </extLst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782F2E7-85BE-3347-859C-009F6E8E34F0}" name="tblTotals405113" displayName="tblTotals405113" ref="A97:O99" totalsRowCount="1" headerRowDxfId="240" dataDxfId="239" headerRowCellStyle="Heading 3">
  <tableColumns count="15">
    <tableColumn id="1" xr3:uid="{DD00991B-6B95-9D4C-BF46-B17CDB52AEAE}" name="TOTALS" totalsRowLabel="Monthly Expenses" dataDxfId="238" totalsRowDxfId="237"/>
    <tableColumn id="2" xr3:uid="{59C64803-7CF5-1346-A047-D3CB9641DAC2}" name="JAN" totalsRowFunction="custom" dataDxfId="236" totalsRowDxfId="235">
      <calculatedColumnFormula>SUM(B21,B28,B34,B43,B51,B69,B76,B83,B87)</calculatedColumnFormula>
      <totalsRowFormula xml:space="preserve"> SUM(tblHome29413[[#Totals],[JAN]] + tblDaily30424[[#Totals],[JAN]] + tblTransportation31435[[#Totals],[JAN]] + tblEntertainment32446[[#Totals],[JAN]] + tblVacations34457[[#Totals],[JAN]]+ tblDues36479[[#Totals],[JAN]]+ tblPersonal374810[[#Totals],[JAN]])</totalsRowFormula>
    </tableColumn>
    <tableColumn id="3" xr3:uid="{EE0FCF98-7609-CD45-BA3D-7387E4BFD733}" name="FEB" totalsRowFunction="custom" dataDxfId="234" totalsRowDxfId="233">
      <calculatedColumnFormula>SUM(C21,C28,C34,C43,C51,C69,C76,C83,C87)</calculatedColumnFormula>
      <totalsRowFormula xml:space="preserve"> SUM(tblHome29413[[#Totals],[FEB]] + tblDaily30424[[#Totals],[FEB]] + tblTransportation31435[[#Totals],[FEB]] + tblEntertainment32446[[#Totals],[FEB]] + tblVacations34457[[#Totals],[FEB]]+ tblDues36479[[#Totals],[FEB]]+ tblPersonal374810[[#Totals],[FEB]])</totalsRowFormula>
    </tableColumn>
    <tableColumn id="4" xr3:uid="{7FC50733-29EE-F744-A518-5D22A8C94ECD}" name="MAR" totalsRowFunction="custom" dataDxfId="232" totalsRowDxfId="231">
      <calculatedColumnFormula>SUM(D21,D28,D34,D43,D51,D69,D76,D83,D87)</calculatedColumnFormula>
      <totalsRowFormula xml:space="preserve"> SUM(tblHome29413[[#Totals],[MAR]] + tblDaily30424[[#Totals],[MAR]] + tblTransportation31435[[#Totals],[MAR]] + tblEntertainment32446[[#Totals],[MAR]] + tblVacations34457[[#Totals],[MAR]]+ tblDues36479[[#Totals],[MAR]]+ tblPersonal374810[[#Totals],[MAR]])</totalsRowFormula>
    </tableColumn>
    <tableColumn id="5" xr3:uid="{93EC6939-F459-C245-B3FF-C75D84642BAA}" name="APR" totalsRowFunction="custom" dataDxfId="230" totalsRowDxfId="229">
      <calculatedColumnFormula>SUM(E21,E28,E34,E43,E51,E69,E76,E83,E87)</calculatedColumnFormula>
      <totalsRowFormula xml:space="preserve"> SUM(tblHome29413[[#Totals],[APR]] + tblDaily30424[[#Totals],[APR]] + tblTransportation31435[[#Totals],[APR]] + tblEntertainment32446[[#Totals],[APR]] + tblVacations34457[[#Totals],[APR]]+ tblDues36479[[#Totals],[APR]]+ tblPersonal374810[[#Totals],[APR]])</totalsRowFormula>
    </tableColumn>
    <tableColumn id="6" xr3:uid="{846621B1-C9E8-7B49-9FF0-E5F21FA1A99F}" name="MAY" totalsRowFunction="custom" dataDxfId="228" totalsRowDxfId="227">
      <calculatedColumnFormula>SUM(F21,F28,F34,F43,F51,F69,F76,F83,F87)</calculatedColumnFormula>
      <totalsRowFormula xml:space="preserve"> SUM(tblHome29413[[#Totals],[MAY]] + tblDaily30424[[#Totals],[MAY]] + tblTransportation31435[[#Totals],[MAY]] + tblEntertainment32446[[#Totals],[MAY]] + tblVacations34457[[#Totals],[MAY]]+ tblDues36479[[#Totals],[MAY]]+ tblPersonal374810[[#Totals],[MAY]])</totalsRowFormula>
    </tableColumn>
    <tableColumn id="7" xr3:uid="{D11C9FCF-F13D-D84F-BCCA-4F162479215D}" name="JUN" totalsRowFunction="custom" dataDxfId="226" totalsRowDxfId="225">
      <calculatedColumnFormula>SUM(G21,G28,G34,G43,G51,G69,G76,G83,G87)</calculatedColumnFormula>
      <totalsRowFormula xml:space="preserve"> SUM(tblHome29413[[#Totals],[JUN]] + tblDaily30424[[#Totals],[JUN]] + tblTransportation31435[[#Totals],[JUN]] + tblEntertainment32446[[#Totals],[JUN]] + tblVacations34457[[#Totals],[JUN]]+ tblDues36479[[#Totals],[JUN]]+ tblPersonal374810[[#Totals],[JUN]])</totalsRowFormula>
    </tableColumn>
    <tableColumn id="8" xr3:uid="{4266F567-C5DD-864E-A129-94D0874B9091}" name="JUL" totalsRowFunction="custom" dataDxfId="224" totalsRowDxfId="223">
      <calculatedColumnFormula>SUM(H21,H28,H34,H43,H51,H69,H76,H83,H87)</calculatedColumnFormula>
      <totalsRowFormula xml:space="preserve"> SUM(tblHome29413[[#Totals],[JUL]] + tblDaily30424[[#Totals],[JUL]] + tblTransportation31435[[#Totals],[JUL]] + tblEntertainment32446[[#Totals],[JUL]] + tblVacations34457[[#Totals],[JUL]]+ tblDues36479[[#Totals],[JUL]]+ tblPersonal374810[[#Totals],[JUL]])</totalsRowFormula>
    </tableColumn>
    <tableColumn id="9" xr3:uid="{6C179C61-649B-AD44-937C-3F6AA1B8D101}" name="AUG" totalsRowFunction="custom" dataDxfId="222" totalsRowDxfId="221">
      <calculatedColumnFormula>SUM(I21,I28,I34,I43,I51,I69,I76,I83,I87)</calculatedColumnFormula>
      <totalsRowFormula xml:space="preserve"> SUM(tblHome29413[[#Totals],[AUG]] + tblDaily30424[[#Totals],[AUG]] + tblTransportation31435[[#Totals],[AUG]] + tblEntertainment32446[[#Totals],[AUG]] + tblVacations34457[[#Totals],[AUG]]+ tblDues36479[[#Totals],[AUG]]+ tblPersonal374810[[#Totals],[AUG]])</totalsRowFormula>
    </tableColumn>
    <tableColumn id="10" xr3:uid="{2118C320-1EC2-6843-92D1-5CBB9954A656}" name="SEP" totalsRowFunction="custom" dataDxfId="220" totalsRowDxfId="219">
      <calculatedColumnFormula>SUM(J21,J28,J34,J43,J51,J69,J76,J83,J87)</calculatedColumnFormula>
      <totalsRowFormula xml:space="preserve"> SUM(tblHome29413[[#Totals],[SEP]] + tblDaily30424[[#Totals],[SEP]] + tblTransportation31435[[#Totals],[SEP]] + tblEntertainment32446[[#Totals],[SEP]] + tblVacations34457[[#Totals],[SEP]]+ tblDues36479[[#Totals],[SEP]]+ tblPersonal374810[[#Totals],[SEP]])</totalsRowFormula>
    </tableColumn>
    <tableColumn id="11" xr3:uid="{8E43AD56-E78C-1448-B396-6D8EE7912143}" name="OCT" totalsRowFunction="custom" dataDxfId="218" totalsRowDxfId="217">
      <calculatedColumnFormula>SUM(K21,K28,K34,K43,K51,K69,K76,K83)</calculatedColumnFormula>
      <totalsRowFormula xml:space="preserve"> SUM(tblHome29413[[#Totals],[OCT]] + tblDaily30424[[#Totals],[OCT]] + tblTransportation31435[[#Totals],[OCT]] + tblEntertainment32446[[#Totals],[OCT]] + tblVacations34457[[#Totals],[OCT]]+ tblDues36479[[#Totals],[OCT]]+ tblPersonal374810[[#Totals],[OCT]])</totalsRowFormula>
    </tableColumn>
    <tableColumn id="12" xr3:uid="{C5229BB8-3088-674D-ACC9-C7B83667DA39}" name="NOV" totalsRowFunction="custom" dataDxfId="216" totalsRowDxfId="215">
      <calculatedColumnFormula>SUM(L21,L28,L34,L43,L51,L69,L76,L83)</calculatedColumnFormula>
      <totalsRowFormula xml:space="preserve"> SUM(tblHome29413[[#Totals],[NOV]] + tblDaily30424[[#Totals],[NOV]] + tblTransportation31435[[#Totals],[NOV]] + tblEntertainment32446[[#Totals],[NOV]] + tblVacations34457[[#Totals],[NOV]]+ tblDues36479[[#Totals],[NOV]]+ tblPersonal374810[[#Totals],[NOV]])</totalsRowFormula>
    </tableColumn>
    <tableColumn id="13" xr3:uid="{AF22F102-2ABB-894C-A755-938F948706AE}" name="DEC" totalsRowFunction="custom" dataDxfId="214" totalsRowDxfId="213">
      <calculatedColumnFormula>SUM(M21,M28,M34,M43,M51,M69,M76,M83)</calculatedColumnFormula>
      <totalsRowFormula xml:space="preserve"> SUM(tblHome29413[[#Totals],[DEC]] + tblDaily30424[[#Totals],[DEC]] + tblTransportation31435[[#Totals],[DEC]] + tblEntertainment32446[[#Totals],[DEC]] + tblVacations34457[[#Totals],[DEC]]+ tblDues36479[[#Totals],[DEC]]+ tblPersonal374810[[#Totals],[DEC]])</totalsRowFormula>
    </tableColumn>
    <tableColumn id="14" xr3:uid="{97ACC2B6-5347-F047-AFEB-90ADEA8F6EE8}" name="YEAR" totalsRowFunction="custom" dataDxfId="212" totalsRowDxfId="211">
      <calculatedColumnFormula>SUM(N21,N28,N34,N43,N51,N69,N76,N83)</calculatedColumnFormula>
      <totalsRowFormula xml:space="preserve"> SUM(tblHome29413[[#Totals],[YEAR]] + tblDaily30424[[#Totals],[YEAR]] + tblTransportation31435[[#Totals],[YEAR]] + tblEntertainment32446[[#Totals],[YEAR]] + tblVacations34457[[#Totals],[YEAR]]+ tblDues36479[[#Totals],[YEAR]]+ tblPersonal374810[[#Totals],[YEAR]])</totalsRowFormula>
    </tableColumn>
    <tableColumn id="15" xr3:uid="{2674B98F-3725-884A-B95F-E9E064A45586}" name=" " dataDxfId="210" totalsRowDxfId="209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="Totals" altTextSummary="View your totals for the year, separated by month."/>
    </ext>
  </extLst>
</table>
</file>

<file path=xl/theme/theme1.xml><?xml version="1.0" encoding="utf-8"?>
<a:theme xmlns:a="http://schemas.openxmlformats.org/drawingml/2006/main" name="Office Theme">
  <a:themeElements>
    <a:clrScheme name="TM04035483-v1">
      <a:dk1>
        <a:srgbClr val="000000"/>
      </a:dk1>
      <a:lt1>
        <a:srgbClr val="FFFFFF"/>
      </a:lt1>
      <a:dk2>
        <a:srgbClr val="004C4B"/>
      </a:dk2>
      <a:lt2>
        <a:srgbClr val="E7E6E6"/>
      </a:lt2>
      <a:accent1>
        <a:srgbClr val="007F80"/>
      </a:accent1>
      <a:accent2>
        <a:srgbClr val="B2D8D7"/>
      </a:accent2>
      <a:accent3>
        <a:srgbClr val="FDF8F3"/>
      </a:accent3>
      <a:accent4>
        <a:srgbClr val="FEBF00"/>
      </a:accent4>
      <a:accent5>
        <a:srgbClr val="FFE501"/>
      </a:accent5>
      <a:accent6>
        <a:srgbClr val="836C5A"/>
      </a:accent6>
      <a:hlink>
        <a:srgbClr val="0563C1"/>
      </a:hlink>
      <a:folHlink>
        <a:srgbClr val="954F72"/>
      </a:folHlink>
    </a:clrScheme>
    <a:fontScheme name="Custom 13">
      <a:majorFont>
        <a:latin typeface="Gill Sans MT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drawing" Target="../drawings/drawing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13" Type="http://schemas.openxmlformats.org/officeDocument/2006/relationships/table" Target="../tables/table38.xml"/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12" Type="http://schemas.openxmlformats.org/officeDocument/2006/relationships/table" Target="../tables/table37.xml"/><Relationship Id="rId2" Type="http://schemas.openxmlformats.org/officeDocument/2006/relationships/table" Target="../tables/table27.xml"/><Relationship Id="rId1" Type="http://schemas.openxmlformats.org/officeDocument/2006/relationships/drawing" Target="../drawings/drawing6.xml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5" Type="http://schemas.openxmlformats.org/officeDocument/2006/relationships/table" Target="../tables/table30.xml"/><Relationship Id="rId10" Type="http://schemas.openxmlformats.org/officeDocument/2006/relationships/table" Target="../tables/table35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EC9D-96CB-F248-BEA3-242EC9D1469B}">
  <dimension ref="A3:I14"/>
  <sheetViews>
    <sheetView workbookViewId="0">
      <selection activeCell="A3" sqref="A3"/>
    </sheetView>
  </sheetViews>
  <sheetFormatPr baseColWidth="10" defaultRowHeight="13" x14ac:dyDescent="0.15"/>
  <cols>
    <col min="1" max="1" width="18.1640625" bestFit="1" customWidth="1"/>
    <col min="2" max="2" width="17.1640625" bestFit="1" customWidth="1"/>
    <col min="3" max="3" width="7.6640625" bestFit="1" customWidth="1"/>
    <col min="4" max="4" width="8.83203125" bestFit="1" customWidth="1"/>
    <col min="5" max="8" width="10.6640625" bestFit="1" customWidth="1"/>
    <col min="9" max="9" width="12.1640625" bestFit="1" customWidth="1"/>
  </cols>
  <sheetData>
    <row r="3" spans="1:9" x14ac:dyDescent="0.15">
      <c r="A3" s="125" t="s">
        <v>136</v>
      </c>
      <c r="B3" s="125" t="s">
        <v>137</v>
      </c>
    </row>
    <row r="4" spans="1:9" x14ac:dyDescent="0.15">
      <c r="A4" s="125" t="s">
        <v>138</v>
      </c>
      <c r="B4" s="39">
        <v>0</v>
      </c>
      <c r="C4" s="39">
        <v>42</v>
      </c>
      <c r="D4" s="39">
        <v>155</v>
      </c>
      <c r="E4" s="39">
        <v>1079</v>
      </c>
      <c r="F4" s="39">
        <v>1381</v>
      </c>
      <c r="G4" s="39">
        <v>2733</v>
      </c>
      <c r="H4" s="39">
        <v>3092</v>
      </c>
      <c r="I4" s="39" t="s">
        <v>139</v>
      </c>
    </row>
    <row r="5" spans="1:9" x14ac:dyDescent="0.15">
      <c r="A5" s="126" t="s">
        <v>69</v>
      </c>
    </row>
    <row r="6" spans="1:9" x14ac:dyDescent="0.15">
      <c r="A6" s="126" t="s">
        <v>122</v>
      </c>
    </row>
    <row r="7" spans="1:9" x14ac:dyDescent="0.15">
      <c r="A7" s="126" t="s">
        <v>72</v>
      </c>
    </row>
    <row r="8" spans="1:9" x14ac:dyDescent="0.15">
      <c r="A8" s="126" t="s">
        <v>71</v>
      </c>
    </row>
    <row r="9" spans="1:9" x14ac:dyDescent="0.15">
      <c r="A9" s="126" t="s">
        <v>68</v>
      </c>
    </row>
    <row r="10" spans="1:9" x14ac:dyDescent="0.15">
      <c r="A10" s="126" t="s">
        <v>70</v>
      </c>
    </row>
    <row r="11" spans="1:9" x14ac:dyDescent="0.15">
      <c r="A11" s="126" t="s">
        <v>67</v>
      </c>
    </row>
    <row r="12" spans="1:9" x14ac:dyDescent="0.15">
      <c r="A12" s="126" t="s">
        <v>73</v>
      </c>
    </row>
    <row r="13" spans="1:9" x14ac:dyDescent="0.15">
      <c r="A13" s="126" t="s">
        <v>121</v>
      </c>
    </row>
    <row r="14" spans="1:9" x14ac:dyDescent="0.15">
      <c r="A14" s="126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B086-C323-C24F-9B34-7AAB2CA94230}">
  <dimension ref="A1:I10"/>
  <sheetViews>
    <sheetView workbookViewId="0">
      <selection activeCell="E2" sqref="E2"/>
    </sheetView>
  </sheetViews>
  <sheetFormatPr baseColWidth="10" defaultRowHeight="13" x14ac:dyDescent="0.15"/>
  <cols>
    <col min="1" max="3" width="38" customWidth="1"/>
    <col min="4" max="4" width="29.83203125" customWidth="1"/>
    <col min="5" max="5" width="16.83203125" customWidth="1"/>
    <col min="6" max="6" width="12.33203125" customWidth="1"/>
    <col min="9" max="9" width="12.5" bestFit="1" customWidth="1"/>
  </cols>
  <sheetData>
    <row r="1" spans="1:9" ht="14" x14ac:dyDescent="0.15">
      <c r="A1" s="33" t="s">
        <v>90</v>
      </c>
      <c r="B1" s="35" t="s">
        <v>91</v>
      </c>
      <c r="C1" s="34" t="s">
        <v>35</v>
      </c>
      <c r="D1" s="119" t="s">
        <v>118</v>
      </c>
      <c r="E1" s="119" t="s">
        <v>124</v>
      </c>
      <c r="F1" s="119" t="s">
        <v>125</v>
      </c>
      <c r="G1" s="4"/>
      <c r="H1" s="35" t="s">
        <v>91</v>
      </c>
      <c r="I1" s="34" t="s">
        <v>35</v>
      </c>
    </row>
    <row r="2" spans="1:9" ht="14" x14ac:dyDescent="0.15">
      <c r="A2" s="30" t="s">
        <v>92</v>
      </c>
      <c r="B2" s="131">
        <v>19932.95</v>
      </c>
      <c r="C2" s="132">
        <v>22100.720000000001</v>
      </c>
      <c r="D2" s="132">
        <f>C2-B2</f>
        <v>2167.7700000000004</v>
      </c>
      <c r="E2" s="121">
        <v>9.6000000000000002E-2</v>
      </c>
      <c r="F2" s="122">
        <v>23000</v>
      </c>
      <c r="G2" s="4"/>
      <c r="H2" s="11">
        <v>21237.06</v>
      </c>
      <c r="I2" s="4">
        <v>21237.06</v>
      </c>
    </row>
    <row r="3" spans="1:9" ht="14" x14ac:dyDescent="0.15">
      <c r="A3" s="30" t="s">
        <v>93</v>
      </c>
      <c r="B3" s="131">
        <f>9920.79</f>
        <v>9920.7900000000009</v>
      </c>
      <c r="C3" s="132">
        <v>9920.7900000000009</v>
      </c>
      <c r="D3" s="132">
        <f t="shared" ref="D3:D10" si="0">C3-B3</f>
        <v>0</v>
      </c>
      <c r="E3" s="121">
        <v>9.6500000000000002E-2</v>
      </c>
      <c r="F3" s="122">
        <v>12675</v>
      </c>
      <c r="G3" s="4"/>
      <c r="H3" s="11">
        <v>9220.7900000000009</v>
      </c>
      <c r="I3" s="4">
        <v>9220.7900000000009</v>
      </c>
    </row>
    <row r="4" spans="1:9" ht="14" x14ac:dyDescent="0.15">
      <c r="A4" s="3" t="s">
        <v>94</v>
      </c>
      <c r="B4" s="131">
        <v>31599.82</v>
      </c>
      <c r="C4" s="132">
        <v>31599.82</v>
      </c>
      <c r="D4" s="132">
        <f t="shared" si="0"/>
        <v>0</v>
      </c>
      <c r="E4" s="121">
        <v>0.09</v>
      </c>
      <c r="F4" s="4"/>
      <c r="G4" s="4"/>
      <c r="H4" s="11">
        <v>16184.06</v>
      </c>
      <c r="I4" s="4">
        <v>16184.06</v>
      </c>
    </row>
    <row r="5" spans="1:9" ht="14" x14ac:dyDescent="0.15">
      <c r="A5" s="3" t="s">
        <v>95</v>
      </c>
      <c r="B5" s="131">
        <v>1791.44</v>
      </c>
      <c r="C5" s="132">
        <f>11000+4215.16</f>
        <v>15215.16</v>
      </c>
      <c r="D5" s="132">
        <f>C5-B5</f>
        <v>13423.72</v>
      </c>
      <c r="E5" s="121">
        <v>0.121</v>
      </c>
      <c r="F5" s="4">
        <v>0</v>
      </c>
      <c r="G5" s="4"/>
      <c r="H5" s="11">
        <v>5065.96</v>
      </c>
      <c r="I5" s="4">
        <v>9943.6200000000008</v>
      </c>
    </row>
    <row r="6" spans="1:9" ht="14" x14ac:dyDescent="0.15">
      <c r="A6" s="3" t="s">
        <v>96</v>
      </c>
      <c r="B6" s="131">
        <f>tblEntertainment3244[[#Totals],[Balance]]</f>
        <v>2014</v>
      </c>
      <c r="C6" s="131">
        <f>6000 + 2200</f>
        <v>8200</v>
      </c>
      <c r="D6" s="132">
        <f t="shared" si="0"/>
        <v>6186</v>
      </c>
      <c r="E6" s="4">
        <v>0</v>
      </c>
      <c r="F6" s="4"/>
      <c r="G6" s="4"/>
      <c r="H6" s="11">
        <f>tblEntertainment3244[[#Totals],[Balance]]</f>
        <v>2014</v>
      </c>
      <c r="I6" s="11">
        <f>tblEntertainment3244[[#Totals],[Balance]]</f>
        <v>2014</v>
      </c>
    </row>
    <row r="7" spans="1:9" ht="14" x14ac:dyDescent="0.15">
      <c r="A7" s="3" t="s">
        <v>140</v>
      </c>
      <c r="B7" s="131">
        <v>0</v>
      </c>
      <c r="C7" s="131">
        <v>5687.02</v>
      </c>
      <c r="D7" s="132">
        <f t="shared" si="0"/>
        <v>5687.02</v>
      </c>
      <c r="E7" s="4">
        <v>8</v>
      </c>
      <c r="F7" s="4"/>
      <c r="G7" s="4"/>
      <c r="H7" s="11"/>
      <c r="I7" s="11"/>
    </row>
    <row r="8" spans="1:9" ht="14" x14ac:dyDescent="0.15">
      <c r="A8" s="3" t="s">
        <v>141</v>
      </c>
      <c r="B8" s="131">
        <v>0</v>
      </c>
      <c r="C8" s="131">
        <v>1844.07</v>
      </c>
      <c r="D8" s="132">
        <f t="shared" si="0"/>
        <v>1844.07</v>
      </c>
      <c r="E8" s="4">
        <v>8</v>
      </c>
      <c r="F8" s="4"/>
      <c r="G8" s="4"/>
      <c r="H8" s="11"/>
      <c r="I8" s="11"/>
    </row>
    <row r="9" spans="1:9" ht="14" x14ac:dyDescent="0.15">
      <c r="A9" s="3" t="s">
        <v>161</v>
      </c>
      <c r="B9" s="131">
        <v>0</v>
      </c>
      <c r="C9" s="131">
        <v>100</v>
      </c>
      <c r="D9" s="132">
        <f t="shared" si="0"/>
        <v>100</v>
      </c>
      <c r="E9" s="4"/>
      <c r="F9" s="4"/>
      <c r="G9" s="4"/>
      <c r="H9" s="11"/>
      <c r="I9" s="11"/>
    </row>
    <row r="10" spans="1:9" ht="14" x14ac:dyDescent="0.15">
      <c r="A10" s="33" t="s">
        <v>35</v>
      </c>
      <c r="B10" s="131">
        <f>SUM(B2:B9)</f>
        <v>65259</v>
      </c>
      <c r="C10" s="132">
        <f>SUM(C2:C6)</f>
        <v>87036.49</v>
      </c>
      <c r="D10" s="132">
        <f t="shared" si="0"/>
        <v>21777.490000000005</v>
      </c>
      <c r="E10" s="4"/>
      <c r="F10" s="4"/>
      <c r="G10" s="4"/>
      <c r="H10" s="11">
        <f>SUM(H2:H6)</f>
        <v>53721.87</v>
      </c>
      <c r="I10" s="4">
        <f>SUM(I2:I6)</f>
        <v>58599.530000000006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44A8-0A3B-4D9E-B791-57A5DE5AC5B0}">
  <sheetPr codeName="Sheet3">
    <tabColor theme="4"/>
    <pageSetUpPr autoPageBreaks="0" fitToPage="1"/>
  </sheetPr>
  <dimension ref="A1:X159"/>
  <sheetViews>
    <sheetView showGridLines="0" tabSelected="1" zoomScaleNormal="100" workbookViewId="0">
      <pane xSplit="1" topLeftCell="G1" activePane="topRight" state="frozen"/>
      <selection pane="topRight" activeCell="H9" sqref="H9"/>
    </sheetView>
  </sheetViews>
  <sheetFormatPr baseColWidth="10" defaultColWidth="8.83203125" defaultRowHeight="22" customHeight="1" x14ac:dyDescent="0.15"/>
  <cols>
    <col min="1" max="1" width="42" style="10" customWidth="1"/>
    <col min="2" max="2" width="50.5" style="11" hidden="1" customWidth="1"/>
    <col min="3" max="3" width="15.83203125" style="11" hidden="1" customWidth="1"/>
    <col min="4" max="4" width="22.33203125" style="11" hidden="1" customWidth="1"/>
    <col min="5" max="5" width="15.83203125" style="11" hidden="1" customWidth="1"/>
    <col min="6" max="6" width="35.83203125" style="11" hidden="1" customWidth="1"/>
    <col min="7" max="7" width="46.33203125" style="11" customWidth="1"/>
    <col min="8" max="8" width="18.83203125" style="11" customWidth="1"/>
    <col min="9" max="9" width="23.33203125" style="11" customWidth="1"/>
    <col min="10" max="10" width="15.83203125" style="11" customWidth="1"/>
    <col min="11" max="11" width="13.6640625" style="11" customWidth="1"/>
    <col min="12" max="12" width="11.1640625" style="11" customWidth="1"/>
    <col min="13" max="13" width="9" style="11" customWidth="1"/>
    <col min="14" max="14" width="18.1640625" style="11" customWidth="1"/>
    <col min="15" max="15" width="34.33203125" style="10" customWidth="1"/>
    <col min="16" max="16" width="12.83203125" style="10" customWidth="1"/>
    <col min="17" max="17" width="24.5" style="18" customWidth="1"/>
    <col min="18" max="18" width="36" style="18" customWidth="1"/>
    <col min="19" max="19" width="10.5" style="18" bestFit="1" customWidth="1"/>
    <col min="20" max="20" width="9.6640625" style="18" bestFit="1" customWidth="1"/>
    <col min="21" max="23" width="8.83203125" style="18"/>
    <col min="24" max="24" width="12.5" style="18" bestFit="1" customWidth="1"/>
    <col min="25" max="16384" width="8.83203125" style="18"/>
  </cols>
  <sheetData>
    <row r="1" spans="1:16" ht="20" customHeight="1" x14ac:dyDescent="0.15">
      <c r="P1" s="10" t="s">
        <v>15</v>
      </c>
    </row>
    <row r="2" spans="1:16" ht="20" customHeight="1" x14ac:dyDescent="0.15"/>
    <row r="3" spans="1:16" ht="20" customHeight="1" x14ac:dyDescent="0.15">
      <c r="G3" s="40"/>
    </row>
    <row r="4" spans="1:16" ht="20" customHeight="1" x14ac:dyDescent="0.15">
      <c r="A4" s="128"/>
    </row>
    <row r="5" spans="1:16" ht="45" x14ac:dyDescent="0.15">
      <c r="A5" s="129">
        <f>tblRecreation3546[[#Totals],[Invested Total]]</f>
        <v>18757.47</v>
      </c>
      <c r="D5" s="130"/>
      <c r="E5" s="40"/>
      <c r="F5" s="130"/>
      <c r="G5" s="157">
        <f>P107</f>
        <v>65259</v>
      </c>
      <c r="J5" s="130"/>
      <c r="K5" s="40"/>
    </row>
    <row r="7" spans="1:16" s="20" customFormat="1" ht="30" customHeight="1" x14ac:dyDescent="0.15">
      <c r="A7" s="24" t="s">
        <v>16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15"/>
    </row>
    <row r="8" spans="1:16" s="5" customFormat="1" ht="30" customHeight="1" x14ac:dyDescent="0.15">
      <c r="A8" s="16" t="s">
        <v>17</v>
      </c>
      <c r="B8" s="29" t="s">
        <v>18</v>
      </c>
      <c r="C8" s="29" t="s">
        <v>19</v>
      </c>
      <c r="D8" s="29" t="s">
        <v>20</v>
      </c>
      <c r="E8" s="29" t="s">
        <v>21</v>
      </c>
      <c r="F8" s="29" t="s">
        <v>22</v>
      </c>
      <c r="G8" s="29" t="s">
        <v>23</v>
      </c>
      <c r="H8" s="29" t="s">
        <v>24</v>
      </c>
      <c r="I8" s="29" t="s">
        <v>25</v>
      </c>
      <c r="J8" s="29" t="s">
        <v>26</v>
      </c>
      <c r="K8" s="29" t="s">
        <v>3</v>
      </c>
      <c r="L8" s="29" t="s">
        <v>27</v>
      </c>
      <c r="M8" s="29" t="s">
        <v>28</v>
      </c>
      <c r="N8" s="29" t="s">
        <v>29</v>
      </c>
      <c r="O8" s="29" t="s">
        <v>30</v>
      </c>
      <c r="P8" s="148" t="s">
        <v>84</v>
      </c>
    </row>
    <row r="9" spans="1:16" s="5" customFormat="1" ht="22.25" customHeight="1" x14ac:dyDescent="0.15">
      <c r="A9" s="12" t="s">
        <v>31</v>
      </c>
      <c r="B9" s="13"/>
      <c r="C9" s="13">
        <v>2729.16</v>
      </c>
      <c r="D9" s="13">
        <v>40</v>
      </c>
      <c r="E9" s="13">
        <v>3016.99</v>
      </c>
      <c r="F9" s="13">
        <v>3016.99</v>
      </c>
      <c r="G9" s="13">
        <f t="shared" ref="G9" si="0">30.16+2986.83</f>
        <v>3016.99</v>
      </c>
      <c r="H9" s="13">
        <f>3020.05 + 30.5</f>
        <v>3050.55</v>
      </c>
      <c r="I9" s="13"/>
      <c r="J9" s="13"/>
      <c r="K9" s="13"/>
      <c r="L9" s="13"/>
      <c r="M9" s="13"/>
      <c r="N9" s="13">
        <f>SUM(tblIncome2833[[#This Row],[JAN]:[DEC]])</f>
        <v>14870.68</v>
      </c>
      <c r="O9" s="36">
        <v>46224</v>
      </c>
    </row>
    <row r="10" spans="1:16" s="5" customFormat="1" ht="22.25" customHeight="1" x14ac:dyDescent="0.15">
      <c r="A10" s="30" t="s">
        <v>32</v>
      </c>
      <c r="B10" s="13"/>
      <c r="C10" s="13">
        <v>3007</v>
      </c>
      <c r="D10" s="13">
        <v>3007</v>
      </c>
      <c r="E10" s="13">
        <v>3016.99</v>
      </c>
      <c r="F10" s="13">
        <f>2986.83+30.16</f>
        <v>3016.99</v>
      </c>
      <c r="G10" s="13">
        <f>2986.83+30.16</f>
        <v>3016.99</v>
      </c>
      <c r="H10" s="13">
        <f>3020.05 + 30.5</f>
        <v>3050.55</v>
      </c>
      <c r="I10" s="13"/>
      <c r="J10" s="13"/>
      <c r="K10" s="13"/>
      <c r="L10" s="13"/>
      <c r="M10" s="13"/>
      <c r="N10" s="13">
        <f>SUM(tblIncome2833[[#This Row],[JAN]:[DEC]])</f>
        <v>18115.52</v>
      </c>
      <c r="O10" s="3"/>
    </row>
    <row r="11" spans="1:16" s="5" customFormat="1" ht="22.25" customHeight="1" x14ac:dyDescent="0.15">
      <c r="A11" s="30" t="s">
        <v>164</v>
      </c>
      <c r="B11" s="13">
        <v>1600</v>
      </c>
      <c r="C11" s="13"/>
      <c r="D11" s="13"/>
      <c r="E11" s="13"/>
      <c r="F11" s="13"/>
      <c r="G11" s="13">
        <v>240</v>
      </c>
      <c r="H11" s="13"/>
      <c r="I11" s="13"/>
      <c r="J11" s="13"/>
      <c r="K11" s="13"/>
      <c r="L11" s="13"/>
      <c r="M11" s="13"/>
      <c r="N11" s="13">
        <f>SUM(tblIncome2833[[#This Row],[JAN]:[DEC]])</f>
        <v>1840</v>
      </c>
      <c r="O11" s="3"/>
    </row>
    <row r="12" spans="1:16" s="5" customFormat="1" ht="22.25" customHeight="1" x14ac:dyDescent="0.15">
      <c r="A12" s="30" t="s">
        <v>146</v>
      </c>
      <c r="B12" s="13"/>
      <c r="C12" s="13">
        <f>1030 + 4185</f>
        <v>5215</v>
      </c>
      <c r="D12" s="13">
        <v>30</v>
      </c>
      <c r="E12" s="13">
        <f>94.39+75</f>
        <v>169.39</v>
      </c>
      <c r="F12" s="13">
        <f>70.31+9.97+29.73</f>
        <v>110.01</v>
      </c>
      <c r="G12" s="13"/>
      <c r="H12" s="13"/>
      <c r="I12" s="13"/>
      <c r="J12" s="13"/>
      <c r="K12" s="13"/>
      <c r="L12" s="13"/>
      <c r="M12" s="13"/>
      <c r="N12" s="13">
        <f>SUM(tblIncome2833[[#This Row],[JAN]:[DEC]])</f>
        <v>5524.4000000000005</v>
      </c>
      <c r="O12" s="3"/>
    </row>
    <row r="13" spans="1:16" s="5" customFormat="1" ht="22.25" customHeight="1" x14ac:dyDescent="0.15">
      <c r="A13" s="12" t="s">
        <v>35</v>
      </c>
      <c r="B13" s="13">
        <f>SUBTOTAL(109,tblIncome2833[JAN])</f>
        <v>1600</v>
      </c>
      <c r="C13" s="13">
        <f>SUBTOTAL(109,tblIncome2833[FEB])</f>
        <v>10951.16</v>
      </c>
      <c r="D13" s="13">
        <f>SUBTOTAL(109,tblIncome2833[MAR])</f>
        <v>3077</v>
      </c>
      <c r="E13" s="13">
        <f>SUBTOTAL(109,tblIncome2833[APR])</f>
        <v>6203.37</v>
      </c>
      <c r="F13" s="13">
        <f>SUBTOTAL(109,tblIncome2833[MAY])</f>
        <v>6143.99</v>
      </c>
      <c r="G13" s="13">
        <f>SUBTOTAL(109,tblIncome2833[JUN])</f>
        <v>6273.98</v>
      </c>
      <c r="H13" s="13">
        <f>SUBTOTAL(109,tblIncome2833[JUL])</f>
        <v>6101.1</v>
      </c>
      <c r="I13" s="13">
        <f>SUBTOTAL(109,tblIncome2833[AUG])</f>
        <v>0</v>
      </c>
      <c r="J13" s="13">
        <f>SUBTOTAL(109,tblIncome2833[SEP])</f>
        <v>0</v>
      </c>
      <c r="K13" s="13">
        <f>SUBTOTAL(109,tblIncome2833[OCT])</f>
        <v>0</v>
      </c>
      <c r="L13" s="13">
        <f>SUBTOTAL(109,tblIncome2833[NOV])</f>
        <v>0</v>
      </c>
      <c r="M13" s="13">
        <f>SUBTOTAL(109,tblIncome2833[DEC])</f>
        <v>0</v>
      </c>
      <c r="N13" s="13">
        <f>SUBTOTAL(109,tblIncome2833[YEAR])</f>
        <v>40350.6</v>
      </c>
      <c r="O13" s="31"/>
      <c r="P13" s="31"/>
    </row>
    <row r="14" spans="1:16" ht="22" customHeight="1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6" s="28" customFormat="1" ht="30" customHeight="1" x14ac:dyDescent="0.15">
      <c r="A15" s="24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7"/>
    </row>
    <row r="16" spans="1:16" s="5" customFormat="1" ht="30" customHeight="1" x14ac:dyDescent="0.15">
      <c r="A16" s="16" t="s">
        <v>37</v>
      </c>
      <c r="B16" s="29" t="s">
        <v>18</v>
      </c>
      <c r="C16" s="29" t="s">
        <v>19</v>
      </c>
      <c r="D16" s="29" t="s">
        <v>20</v>
      </c>
      <c r="E16" s="29" t="s">
        <v>21</v>
      </c>
      <c r="F16" s="29" t="s">
        <v>22</v>
      </c>
      <c r="G16" s="29" t="s">
        <v>23</v>
      </c>
      <c r="H16" s="29" t="s">
        <v>24</v>
      </c>
      <c r="I16" s="29" t="s">
        <v>25</v>
      </c>
      <c r="J16" s="29" t="s">
        <v>26</v>
      </c>
      <c r="K16" s="29" t="s">
        <v>3</v>
      </c>
      <c r="L16" s="29" t="s">
        <v>27</v>
      </c>
      <c r="M16" s="29" t="s">
        <v>28</v>
      </c>
      <c r="N16" s="29" t="s">
        <v>29</v>
      </c>
      <c r="O16" s="29" t="s">
        <v>30</v>
      </c>
    </row>
    <row r="17" spans="1:16" s="5" customFormat="1" ht="22.25" customHeight="1" x14ac:dyDescent="0.15">
      <c r="A17" s="12" t="s">
        <v>38</v>
      </c>
      <c r="B17" s="13">
        <v>850</v>
      </c>
      <c r="C17" s="13">
        <v>800</v>
      </c>
      <c r="D17" s="13">
        <v>800</v>
      </c>
      <c r="E17" s="137">
        <v>800</v>
      </c>
      <c r="F17" s="13">
        <v>800</v>
      </c>
      <c r="G17" s="13">
        <v>400</v>
      </c>
      <c r="H17" s="13"/>
      <c r="I17" s="13"/>
      <c r="J17" s="13"/>
      <c r="K17" s="13"/>
      <c r="L17" s="13"/>
      <c r="M17" s="13"/>
      <c r="N17" s="13">
        <f>SUM(tblHome2941[[#This Row],[JAN]:[DEC]])</f>
        <v>4450</v>
      </c>
      <c r="O17" s="160">
        <v>46224</v>
      </c>
    </row>
    <row r="18" spans="1:16" s="5" customFormat="1" ht="22.25" customHeight="1" x14ac:dyDescent="0.15">
      <c r="A18" s="12" t="s">
        <v>39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>
        <f>SUM(tblHome2941[[#This Row],[JAN]:[DEC]])</f>
        <v>0</v>
      </c>
      <c r="O18" s="30"/>
    </row>
    <row r="19" spans="1:16" s="5" customFormat="1" ht="22.25" customHeight="1" x14ac:dyDescent="0.15">
      <c r="A19" s="12" t="s">
        <v>40</v>
      </c>
      <c r="B19" s="13"/>
      <c r="C19" s="13"/>
      <c r="D19" s="13">
        <v>800</v>
      </c>
      <c r="E19" s="13"/>
      <c r="F19" s="13"/>
      <c r="G19" s="13"/>
      <c r="H19" s="13"/>
      <c r="I19" s="13"/>
      <c r="J19" s="13"/>
      <c r="K19" s="13"/>
      <c r="L19" s="13"/>
      <c r="M19" s="13"/>
      <c r="N19" s="13">
        <f>SUM(tblHome2941[[#This Row],[JAN]:[DEC]])</f>
        <v>800</v>
      </c>
      <c r="O19" s="30"/>
    </row>
    <row r="20" spans="1:16" s="5" customFormat="1" ht="22.25" customHeight="1" x14ac:dyDescent="0.15">
      <c r="A20" s="12" t="s">
        <v>41</v>
      </c>
      <c r="B20" s="13">
        <v>109</v>
      </c>
      <c r="C20" s="13"/>
      <c r="D20" s="13">
        <v>94.38</v>
      </c>
      <c r="E20" s="13">
        <v>59.1</v>
      </c>
      <c r="F20" s="13">
        <v>59.86</v>
      </c>
      <c r="G20" s="13">
        <v>59.67</v>
      </c>
      <c r="H20" s="13">
        <v>37.43</v>
      </c>
      <c r="I20" s="13"/>
      <c r="J20" s="13"/>
      <c r="K20" s="13"/>
      <c r="L20" s="13"/>
      <c r="M20" s="13"/>
      <c r="N20" s="13">
        <f>SUM(tblHome2941[[#This Row],[JAN]:[DEC]])</f>
        <v>419.44000000000005</v>
      </c>
      <c r="O20" s="3"/>
    </row>
    <row r="21" spans="1:16" s="5" customFormat="1" ht="22.25" customHeight="1" x14ac:dyDescent="0.15">
      <c r="A21" s="12" t="s">
        <v>149</v>
      </c>
      <c r="B21" s="13"/>
      <c r="C21" s="13"/>
      <c r="D21" s="13">
        <f>24.09+7.3+2+23.31+0.1+22.84+26.86+307.23+25+22.02+16.35+15.52+9.03</f>
        <v>501.65</v>
      </c>
      <c r="E21" s="13"/>
      <c r="F21" s="13">
        <f>594.66+51+2.83+10.65+8.31+7.94+2.83+9.88</f>
        <v>688.1</v>
      </c>
      <c r="G21" s="13">
        <v>293.3</v>
      </c>
      <c r="H21" s="13"/>
      <c r="I21" s="13"/>
      <c r="J21" s="13"/>
      <c r="K21" s="13"/>
      <c r="L21" s="13"/>
      <c r="M21" s="13"/>
      <c r="N21" s="13">
        <f>SUM(tblHome2941[[#This Row],[JAN]:[DEC]])</f>
        <v>1483.05</v>
      </c>
      <c r="O21" s="3"/>
    </row>
    <row r="22" spans="1:16" ht="22.25" customHeight="1" x14ac:dyDescent="0.15">
      <c r="A22" s="12" t="s">
        <v>35</v>
      </c>
      <c r="B22" s="13">
        <f>SUBTOTAL(109,tblHome2941[JAN])</f>
        <v>959</v>
      </c>
      <c r="C22" s="13">
        <f>SUBTOTAL(109,tblHome2941[FEB])</f>
        <v>800</v>
      </c>
      <c r="D22" s="13">
        <f>SUBTOTAL(109,tblHome2941[MAR])</f>
        <v>2196.0300000000002</v>
      </c>
      <c r="E22" s="13">
        <f>SUBTOTAL(109,tblHome2941[APR])</f>
        <v>859.1</v>
      </c>
      <c r="F22" s="13">
        <f>SUBTOTAL(109,tblHome2941[MAY])</f>
        <v>1547.96</v>
      </c>
      <c r="G22" s="13">
        <f>SUBTOTAL(109,tblHome2941[JUN])</f>
        <v>752.97</v>
      </c>
      <c r="H22" s="13">
        <f>SUBTOTAL(109,tblHome2941[JUL])</f>
        <v>37.43</v>
      </c>
      <c r="I22" s="13">
        <f>SUBTOTAL(109,tblHome2941[AUG])</f>
        <v>0</v>
      </c>
      <c r="J22" s="13">
        <f>SUBTOTAL(109,tblHome2941[SEP])</f>
        <v>0</v>
      </c>
      <c r="K22" s="13">
        <f>SUBTOTAL(109,tblHome2941[OCT])</f>
        <v>0</v>
      </c>
      <c r="L22" s="13">
        <f>SUBTOTAL(109,tblHome2941[NOV])</f>
        <v>0</v>
      </c>
      <c r="M22" s="13">
        <f>SUBTOTAL(109,tblHome2941[DEC])</f>
        <v>0</v>
      </c>
      <c r="N22" s="13">
        <f>SUBTOTAL(109,tblHome2941[YEAR])</f>
        <v>7152.4900000000007</v>
      </c>
      <c r="O22" s="31"/>
      <c r="P22" s="18"/>
    </row>
    <row r="23" spans="1:16" s="19" customFormat="1" ht="22" customHeight="1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0"/>
      <c r="P23" s="17"/>
    </row>
    <row r="24" spans="1:16" s="5" customFormat="1" ht="30" customHeight="1" x14ac:dyDescent="0.15">
      <c r="A24" s="16" t="s">
        <v>42</v>
      </c>
      <c r="B24" s="29" t="s">
        <v>18</v>
      </c>
      <c r="C24" s="29" t="s">
        <v>19</v>
      </c>
      <c r="D24" s="29" t="s">
        <v>20</v>
      </c>
      <c r="E24" s="29" t="s">
        <v>21</v>
      </c>
      <c r="F24" s="29" t="s">
        <v>22</v>
      </c>
      <c r="G24" s="29" t="s">
        <v>23</v>
      </c>
      <c r="H24" s="29" t="s">
        <v>24</v>
      </c>
      <c r="I24" s="29" t="s">
        <v>25</v>
      </c>
      <c r="J24" s="29" t="s">
        <v>26</v>
      </c>
      <c r="K24" s="29" t="s">
        <v>3</v>
      </c>
      <c r="L24" s="29" t="s">
        <v>27</v>
      </c>
      <c r="M24" s="29" t="s">
        <v>28</v>
      </c>
      <c r="N24" s="29" t="s">
        <v>29</v>
      </c>
      <c r="O24" s="32" t="s">
        <v>30</v>
      </c>
    </row>
    <row r="25" spans="1:16" s="5" customFormat="1" ht="30" customHeight="1" x14ac:dyDescent="0.15">
      <c r="A25" s="12" t="s">
        <v>43</v>
      </c>
      <c r="B25" s="31">
        <v>90</v>
      </c>
      <c r="C25" s="31">
        <v>270</v>
      </c>
      <c r="D25" s="31"/>
      <c r="E25" s="13"/>
      <c r="F25" s="13"/>
      <c r="G25" s="31"/>
      <c r="H25" s="31"/>
      <c r="I25" s="31"/>
      <c r="J25" s="31"/>
      <c r="K25" s="31"/>
      <c r="L25" s="31"/>
      <c r="M25" s="31"/>
      <c r="N25" s="31">
        <f>SUM(tblDaily3042[[#This Row],[JAN]:[DEC]])</f>
        <v>360</v>
      </c>
      <c r="O25" s="160">
        <v>46224</v>
      </c>
    </row>
    <row r="26" spans="1:16" s="5" customFormat="1" ht="22.25" customHeight="1" x14ac:dyDescent="0.15">
      <c r="A26" s="12" t="s">
        <v>144</v>
      </c>
      <c r="B26" s="13">
        <v>308</v>
      </c>
      <c r="C26" s="13">
        <v>244</v>
      </c>
      <c r="D26" s="13">
        <v>27.64</v>
      </c>
      <c r="E26" s="13">
        <v>58.3</v>
      </c>
      <c r="F26" s="13">
        <v>20</v>
      </c>
      <c r="G26" s="13">
        <f>9.62+29.96</f>
        <v>39.58</v>
      </c>
      <c r="H26" s="13"/>
      <c r="I26" s="13"/>
      <c r="J26" s="13"/>
      <c r="K26" s="13"/>
      <c r="L26" s="13"/>
      <c r="M26" s="13"/>
      <c r="N26" s="13">
        <f>SUM(tblDaily3042[[#This Row],[JAN]:[DEC]])</f>
        <v>697.52</v>
      </c>
      <c r="O26" s="3"/>
    </row>
    <row r="27" spans="1:16" s="5" customFormat="1" ht="22.25" customHeight="1" x14ac:dyDescent="0.15">
      <c r="A27" s="12" t="s">
        <v>135</v>
      </c>
      <c r="B27" s="13"/>
      <c r="C27" s="13">
        <v>85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>
        <f>SUM(tblDaily3042[[#This Row],[JAN]:[DEC]])</f>
        <v>85</v>
      </c>
      <c r="O27" s="3"/>
    </row>
    <row r="28" spans="1:16" s="5" customFormat="1" ht="22.25" customHeight="1" x14ac:dyDescent="0.15">
      <c r="A28" s="12" t="s">
        <v>143</v>
      </c>
      <c r="B28" s="13"/>
      <c r="C28" s="13"/>
      <c r="D28" s="13">
        <f>31.62+10.01+15.38+2.61+39.43</f>
        <v>99.050000000000011</v>
      </c>
      <c r="E28" s="13">
        <f>45.3+6.16+48.47+25.62+19.47+14.71+37.19</f>
        <v>196.92</v>
      </c>
      <c r="F28" s="13">
        <f>-8.41+40.31+38.67+44.49+27.12+2</f>
        <v>144.18</v>
      </c>
      <c r="G28" s="13">
        <f>19.97+9.94+21.51+2.42+10.06+5.23+34+33+8.94-26</f>
        <v>119.07</v>
      </c>
      <c r="H28" s="13">
        <f>13+8.25+39.48</f>
        <v>60.73</v>
      </c>
      <c r="I28" s="13"/>
      <c r="J28" s="13"/>
      <c r="K28" s="13"/>
      <c r="L28" s="13"/>
      <c r="M28" s="13"/>
      <c r="N28" s="13">
        <f>SUM(tblDaily3042[[#This Row],[JAN]:[DEC]])</f>
        <v>619.95000000000005</v>
      </c>
      <c r="O28" s="3"/>
    </row>
    <row r="29" spans="1:16" s="5" customFormat="1" ht="22.25" customHeight="1" x14ac:dyDescent="0.15">
      <c r="A29" s="12" t="s">
        <v>45</v>
      </c>
      <c r="B29" s="13"/>
      <c r="C29" s="13">
        <v>1.87</v>
      </c>
      <c r="D29" s="13">
        <f>6+16.04+1+11</f>
        <v>34.04</v>
      </c>
      <c r="E29" s="13">
        <f>3.1+17.16+23.75+5.76+1.56+5.3+15.85</f>
        <v>72.48</v>
      </c>
      <c r="F29" s="13">
        <f>7.7+6.92+9.07</f>
        <v>23.69</v>
      </c>
      <c r="G29" s="13">
        <f>2+4.06+12+5.62+1.06+7+3+4.54+1</f>
        <v>40.279999999999994</v>
      </c>
      <c r="H29" s="13">
        <v>9.24</v>
      </c>
      <c r="I29" s="13"/>
      <c r="J29" s="13"/>
      <c r="K29" s="13"/>
      <c r="L29" s="13"/>
      <c r="M29" s="13"/>
      <c r="N29" s="13">
        <f>SUM(tblDaily3042[[#This Row],[JAN]:[DEC]])</f>
        <v>181.60000000000002</v>
      </c>
      <c r="O29" s="3"/>
    </row>
    <row r="30" spans="1:16" s="5" customFormat="1" ht="22.25" customHeight="1" x14ac:dyDescent="0.15">
      <c r="A30" s="12" t="s">
        <v>150</v>
      </c>
      <c r="B30" s="13">
        <v>96.25</v>
      </c>
      <c r="C30" s="13">
        <v>64</v>
      </c>
      <c r="D30" s="13">
        <f>10.62+2.61</f>
        <v>13.229999999999999</v>
      </c>
      <c r="E30" s="13">
        <v>58.96</v>
      </c>
      <c r="F30" s="13"/>
      <c r="G30" s="13">
        <v>63.71</v>
      </c>
      <c r="H30" s="13"/>
      <c r="I30" s="13"/>
      <c r="J30" s="13"/>
      <c r="K30" s="13"/>
      <c r="L30" s="13"/>
      <c r="M30" s="13"/>
      <c r="N30" s="13">
        <f>SUM(tblDaily3042[[#This Row],[JAN]:[DEC]])</f>
        <v>296.14999999999998</v>
      </c>
      <c r="O30" s="3"/>
    </row>
    <row r="31" spans="1:16" s="5" customFormat="1" ht="22.25" customHeight="1" x14ac:dyDescent="0.15">
      <c r="A31" s="12" t="s">
        <v>166</v>
      </c>
      <c r="B31" s="13"/>
      <c r="C31" s="13"/>
      <c r="D31" s="13"/>
      <c r="E31" s="13"/>
      <c r="F31" s="13">
        <v>7.28</v>
      </c>
      <c r="G31" s="13">
        <f>12.49+11.65+ 13</f>
        <v>37.14</v>
      </c>
      <c r="H31" s="13"/>
      <c r="I31" s="13"/>
      <c r="J31" s="13"/>
      <c r="K31" s="13"/>
      <c r="L31" s="13"/>
      <c r="M31" s="13"/>
      <c r="N31" s="13">
        <f>SUM(tblDaily3042[[#This Row],[JAN]:[DEC]])</f>
        <v>44.42</v>
      </c>
      <c r="O31" s="3"/>
    </row>
    <row r="32" spans="1:16" s="19" customFormat="1" ht="22.25" customHeight="1" x14ac:dyDescent="0.15">
      <c r="A32" s="12" t="s">
        <v>35</v>
      </c>
      <c r="B32" s="13">
        <f>SUBTOTAL(109,tblDaily3042[JAN])</f>
        <v>494.25</v>
      </c>
      <c r="C32" s="13">
        <f>SUBTOTAL(109,tblDaily3042[FEB])</f>
        <v>664.87</v>
      </c>
      <c r="D32" s="13">
        <f>SUBTOTAL(109,tblDaily3042[MAR])</f>
        <v>173.96</v>
      </c>
      <c r="E32" s="13">
        <f>SUBTOTAL(109,tblDaily3042[APR])</f>
        <v>386.65999999999997</v>
      </c>
      <c r="F32" s="13">
        <f>SUBTOTAL(109,tblDaily3042[MAY])</f>
        <v>195.15</v>
      </c>
      <c r="G32" s="13">
        <f>SUBTOTAL(109,tblDaily3042[JUN])</f>
        <v>299.77999999999997</v>
      </c>
      <c r="H32" s="13">
        <f>SUBTOTAL(109,tblDaily3042[JUL])</f>
        <v>69.97</v>
      </c>
      <c r="I32" s="13">
        <f>SUBTOTAL(109,tblDaily3042[AUG])</f>
        <v>0</v>
      </c>
      <c r="J32" s="13">
        <f>SUBTOTAL(109,tblDaily3042[SEP])</f>
        <v>0</v>
      </c>
      <c r="K32" s="13">
        <f>SUBTOTAL(109,tblDaily3042[OCT])</f>
        <v>0</v>
      </c>
      <c r="L32" s="13">
        <f>SUBTOTAL(109,tblDaily3042[NOV])</f>
        <v>0</v>
      </c>
      <c r="M32" s="13">
        <f>SUBTOTAL(109,tblDaily3042[DEC])</f>
        <v>0</v>
      </c>
      <c r="N32" s="13">
        <f>SUBTOTAL(109,tblDaily3042[YEAR])</f>
        <v>2284.6400000000003</v>
      </c>
      <c r="O32" s="31"/>
    </row>
    <row r="33" spans="1:16" s="5" customFormat="1" ht="22" customHeight="1" x14ac:dyDescent="0.1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3"/>
      <c r="P33" s="3"/>
    </row>
    <row r="34" spans="1:16" s="5" customFormat="1" ht="30" customHeight="1" x14ac:dyDescent="0.15">
      <c r="A34" s="16" t="s">
        <v>47</v>
      </c>
      <c r="B34" s="29" t="s">
        <v>18</v>
      </c>
      <c r="C34" s="29" t="s">
        <v>19</v>
      </c>
      <c r="D34" s="29" t="s">
        <v>20</v>
      </c>
      <c r="E34" s="29" t="s">
        <v>21</v>
      </c>
      <c r="F34" s="29" t="s">
        <v>22</v>
      </c>
      <c r="G34" s="29" t="s">
        <v>23</v>
      </c>
      <c r="H34" s="29" t="s">
        <v>24</v>
      </c>
      <c r="I34" s="29" t="s">
        <v>25</v>
      </c>
      <c r="J34" s="29" t="s">
        <v>26</v>
      </c>
      <c r="K34" s="29" t="s">
        <v>3</v>
      </c>
      <c r="L34" s="29" t="s">
        <v>27</v>
      </c>
      <c r="M34" s="29" t="s">
        <v>28</v>
      </c>
      <c r="N34" s="29" t="s">
        <v>29</v>
      </c>
      <c r="O34" s="32" t="s">
        <v>30</v>
      </c>
    </row>
    <row r="35" spans="1:16" s="5" customFormat="1" ht="22.25" customHeight="1" x14ac:dyDescent="0.15">
      <c r="A35" s="12" t="s">
        <v>48</v>
      </c>
      <c r="B35" s="13">
        <v>4</v>
      </c>
      <c r="C35" s="13">
        <v>50.84</v>
      </c>
      <c r="D35" s="13">
        <f>7.5+7.5+7.5</f>
        <v>22.5</v>
      </c>
      <c r="E35" s="13">
        <f t="shared" ref="E35" si="1">2.57+2.5+2.57+2.57</f>
        <v>10.210000000000001</v>
      </c>
      <c r="F35" s="13">
        <v>11.32</v>
      </c>
      <c r="G35" s="13">
        <v>2.3199999999999998</v>
      </c>
      <c r="H35" s="13">
        <f>8.23+3.09+7.72+5</f>
        <v>24.04</v>
      </c>
      <c r="I35" s="13"/>
      <c r="J35" s="13"/>
      <c r="K35" s="13"/>
      <c r="L35" s="13"/>
      <c r="M35" s="13"/>
      <c r="N35" s="13">
        <f>SUM(tblTransportation3143[[#This Row],[JAN]:[DEC]])</f>
        <v>125.22999999999999</v>
      </c>
      <c r="O35" s="160">
        <v>46224</v>
      </c>
    </row>
    <row r="36" spans="1:16" s="5" customFormat="1" ht="22.25" customHeight="1" x14ac:dyDescent="0.15">
      <c r="A36" s="12" t="s">
        <v>49</v>
      </c>
      <c r="C36" s="13">
        <v>8.5</v>
      </c>
      <c r="D36" s="13">
        <v>2.25</v>
      </c>
      <c r="E36" s="13"/>
      <c r="F36" s="13"/>
      <c r="G36" s="13"/>
      <c r="H36" s="13"/>
      <c r="I36" s="13"/>
      <c r="J36" s="13"/>
      <c r="K36" s="13"/>
      <c r="L36" s="13"/>
      <c r="M36" s="13"/>
      <c r="N36" s="13">
        <f>SUM(tblTransportation3143[[#This Row],[JAN]:[DEC]])</f>
        <v>10.75</v>
      </c>
      <c r="O36" s="3"/>
    </row>
    <row r="37" spans="1:16" s="5" customFormat="1" ht="22.25" customHeight="1" x14ac:dyDescent="0.15">
      <c r="A37" s="12" t="s">
        <v>50</v>
      </c>
      <c r="B37" s="13"/>
      <c r="C37" s="13">
        <v>5.34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>
        <f>SUM(tblTransportation3143[[#This Row],[JAN]:[DEC]])</f>
        <v>5.34</v>
      </c>
      <c r="O37" s="3"/>
    </row>
    <row r="38" spans="1:16" s="19" customFormat="1" ht="22.25" customHeight="1" x14ac:dyDescent="0.15">
      <c r="A38" s="12" t="s">
        <v>35</v>
      </c>
      <c r="B38" s="13">
        <f>SUBTOTAL(109,tblTransportation3143[JAN])</f>
        <v>4</v>
      </c>
      <c r="C38" s="13">
        <f>SUBTOTAL(109,tblTransportation3143[FEB])</f>
        <v>64.680000000000007</v>
      </c>
      <c r="D38" s="13">
        <f>SUBTOTAL(109,tblTransportation3143[MAR])</f>
        <v>24.75</v>
      </c>
      <c r="E38" s="13">
        <f>SUBTOTAL(109,tblTransportation3143[APR])</f>
        <v>10.210000000000001</v>
      </c>
      <c r="F38" s="13">
        <f>SUBTOTAL(109,tblTransportation3143[MAY])</f>
        <v>11.32</v>
      </c>
      <c r="G38" s="13">
        <f>SUBTOTAL(109,tblTransportation3143[JUN])</f>
        <v>2.3199999999999998</v>
      </c>
      <c r="H38" s="13">
        <f>SUBTOTAL(109,tblTransportation3143[JUL])</f>
        <v>24.04</v>
      </c>
      <c r="I38" s="13">
        <f>SUBTOTAL(109,tblTransportation3143[AUG])</f>
        <v>0</v>
      </c>
      <c r="J38" s="13">
        <f>SUBTOTAL(109,tblTransportation3143[SEP])</f>
        <v>0</v>
      </c>
      <c r="K38" s="13">
        <f>SUBTOTAL(109,tblTransportation3143[OCT])</f>
        <v>0</v>
      </c>
      <c r="L38" s="13">
        <f>SUBTOTAL(109,tblTransportation3143[NOV])</f>
        <v>0</v>
      </c>
      <c r="M38" s="13">
        <f>SUBTOTAL(109,tblTransportation3143[DEC])</f>
        <v>0</v>
      </c>
      <c r="N38" s="13">
        <f>SUBTOTAL(109,tblTransportation3143[YEAR])</f>
        <v>141.32</v>
      </c>
      <c r="O38" s="31"/>
    </row>
    <row r="39" spans="1:16" s="5" customFormat="1" ht="22" customHeight="1" x14ac:dyDescent="0.1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3"/>
      <c r="P39" s="3"/>
    </row>
    <row r="40" spans="1:16" s="5" customFormat="1" ht="30" customHeight="1" x14ac:dyDescent="0.15">
      <c r="A40" s="16" t="s">
        <v>9</v>
      </c>
      <c r="B40" s="29" t="s">
        <v>18</v>
      </c>
      <c r="C40" s="29" t="s">
        <v>19</v>
      </c>
      <c r="D40" s="29" t="s">
        <v>20</v>
      </c>
      <c r="E40" s="29" t="s">
        <v>21</v>
      </c>
      <c r="F40" s="29" t="s">
        <v>22</v>
      </c>
      <c r="G40" s="29" t="s">
        <v>23</v>
      </c>
      <c r="H40" s="29" t="s">
        <v>24</v>
      </c>
      <c r="I40" s="29" t="s">
        <v>25</v>
      </c>
      <c r="J40" s="29" t="s">
        <v>26</v>
      </c>
      <c r="K40" s="29" t="s">
        <v>3</v>
      </c>
      <c r="L40" s="29" t="s">
        <v>27</v>
      </c>
      <c r="M40" s="29" t="s">
        <v>28</v>
      </c>
      <c r="N40" s="29" t="s">
        <v>29</v>
      </c>
      <c r="O40" s="32" t="s">
        <v>30</v>
      </c>
      <c r="P40" s="32" t="s">
        <v>51</v>
      </c>
    </row>
    <row r="41" spans="1:16" s="5" customFormat="1" ht="22.25" customHeight="1" x14ac:dyDescent="0.15">
      <c r="A41" s="12" t="s">
        <v>52</v>
      </c>
      <c r="B41" s="13">
        <v>48</v>
      </c>
      <c r="C41" s="13">
        <v>252</v>
      </c>
      <c r="D41" s="13">
        <v>300</v>
      </c>
      <c r="E41" s="13">
        <v>100</v>
      </c>
      <c r="F41" s="13"/>
      <c r="G41" s="13"/>
      <c r="H41" s="13"/>
      <c r="I41" s="13"/>
      <c r="J41" s="13"/>
      <c r="K41" s="13"/>
      <c r="L41" s="13"/>
      <c r="M41" s="13"/>
      <c r="N41" s="13">
        <f>SUM(tblEntertainment3244[[#This Row],[JAN]:[DEC]])</f>
        <v>700</v>
      </c>
      <c r="O41" s="160">
        <v>46224</v>
      </c>
      <c r="P41" s="5">
        <v>1000</v>
      </c>
    </row>
    <row r="42" spans="1:16" s="5" customFormat="1" ht="22.25" customHeight="1" x14ac:dyDescent="0.15">
      <c r="A42" s="12" t="s">
        <v>167</v>
      </c>
      <c r="B42" s="13">
        <v>8.9499999999999993</v>
      </c>
      <c r="C42" s="13"/>
      <c r="D42" s="13"/>
      <c r="E42" s="13"/>
      <c r="F42" s="13"/>
      <c r="G42" s="13">
        <v>325</v>
      </c>
      <c r="H42" s="13"/>
      <c r="I42" s="13"/>
      <c r="J42" s="13"/>
      <c r="K42" s="13"/>
      <c r="L42" s="13"/>
      <c r="M42" s="13"/>
      <c r="N42" s="13">
        <f>SUM(tblEntertainment3244[[#This Row],[JAN]:[DEC]])</f>
        <v>333.95</v>
      </c>
      <c r="O42" s="3"/>
      <c r="P42" s="5">
        <v>0</v>
      </c>
    </row>
    <row r="43" spans="1:16" s="5" customFormat="1" ht="22.25" customHeight="1" x14ac:dyDescent="0.15">
      <c r="A43" s="12" t="s">
        <v>55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>
        <f>SUM(tblEntertainment3244[[#This Row],[JAN]:[DEC]])</f>
        <v>0</v>
      </c>
      <c r="O43" s="3"/>
      <c r="P43" s="5">
        <v>0</v>
      </c>
    </row>
    <row r="44" spans="1:16" s="5" customFormat="1" ht="22.25" customHeight="1" x14ac:dyDescent="0.15">
      <c r="A44" s="12" t="s">
        <v>56</v>
      </c>
      <c r="B44" s="13"/>
      <c r="C44" s="13">
        <v>176.62</v>
      </c>
      <c r="D44" s="13">
        <v>200</v>
      </c>
      <c r="E44" s="13">
        <v>100</v>
      </c>
      <c r="F44" s="13"/>
      <c r="G44" s="13"/>
      <c r="H44" s="13"/>
      <c r="I44" s="13"/>
      <c r="J44" s="13"/>
      <c r="K44" s="13"/>
      <c r="L44" s="13"/>
      <c r="M44" s="13"/>
      <c r="N44" s="13">
        <f>SUM(tblEntertainment3244[[#This Row],[JAN]:[DEC]])</f>
        <v>476.62</v>
      </c>
      <c r="O44" s="3"/>
      <c r="P44" s="5">
        <v>1014</v>
      </c>
    </row>
    <row r="45" spans="1:16" s="5" customFormat="1" ht="22.25" customHeight="1" x14ac:dyDescent="0.15">
      <c r="A45" s="12" t="s">
        <v>57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>
        <f>SUM(tblEntertainment3244[[#This Row],[JAN]:[DEC]])</f>
        <v>0</v>
      </c>
      <c r="O45" s="3"/>
      <c r="P45" s="5">
        <v>0</v>
      </c>
    </row>
    <row r="46" spans="1:16" ht="22.25" customHeight="1" x14ac:dyDescent="0.15">
      <c r="A46" s="12" t="s">
        <v>58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>
        <f>SUM(tblEntertainment3244[[#This Row],[JAN]:[DEC]])</f>
        <v>0</v>
      </c>
      <c r="O46" s="3"/>
      <c r="P46" s="5"/>
    </row>
    <row r="47" spans="1:16" s="19" customFormat="1" ht="22.25" customHeight="1" x14ac:dyDescent="0.15">
      <c r="A47" s="12" t="s">
        <v>35</v>
      </c>
      <c r="B47" s="13">
        <f>SUBTOTAL(109,tblEntertainment3244[JAN])</f>
        <v>56.95</v>
      </c>
      <c r="C47" s="13">
        <f>SUBTOTAL(109,tblEntertainment3244[FEB])</f>
        <v>428.62</v>
      </c>
      <c r="D47" s="13">
        <f>SUBTOTAL(109,tblEntertainment3244[MAR])</f>
        <v>500</v>
      </c>
      <c r="E47" s="13">
        <f>SUBTOTAL(109,tblEntertainment3244[APR])</f>
        <v>200</v>
      </c>
      <c r="F47" s="13">
        <f>SUBTOTAL(109,tblEntertainment3244[MAY])</f>
        <v>0</v>
      </c>
      <c r="G47" s="13">
        <f>SUBTOTAL(109,tblEntertainment3244[JUN])</f>
        <v>325</v>
      </c>
      <c r="H47" s="13">
        <f>SUBTOTAL(109,tblEntertainment3244[JUL])</f>
        <v>0</v>
      </c>
      <c r="I47" s="13">
        <f>SUBTOTAL(109,tblEntertainment3244[AUG])</f>
        <v>0</v>
      </c>
      <c r="J47" s="13">
        <f>SUBTOTAL(109,tblEntertainment3244[SEP])</f>
        <v>0</v>
      </c>
      <c r="K47" s="13">
        <f>SUBTOTAL(109,tblEntertainment3244[OCT])</f>
        <v>0</v>
      </c>
      <c r="L47" s="13">
        <f>SUBTOTAL(109,tblEntertainment3244[NOV])</f>
        <v>0</v>
      </c>
      <c r="M47" s="13">
        <f>SUBTOTAL(109,tblEntertainment3244[DEC])</f>
        <v>0</v>
      </c>
      <c r="N47" s="13">
        <f>SUBTOTAL(109,tblEntertainment3244[YEAR])</f>
        <v>1510.5700000000002</v>
      </c>
      <c r="O47" s="31"/>
      <c r="P47" s="31">
        <f>SUM(tblEntertainment3244[Balance])</f>
        <v>2014</v>
      </c>
    </row>
    <row r="48" spans="1:16" s="5" customFormat="1" ht="22" customHeight="1" x14ac:dyDescent="0.1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3"/>
      <c r="P48" s="3"/>
    </row>
    <row r="49" spans="1:18" s="5" customFormat="1" ht="30" customHeight="1" x14ac:dyDescent="0.15">
      <c r="A49" s="16" t="s">
        <v>59</v>
      </c>
      <c r="B49" s="29" t="s">
        <v>18</v>
      </c>
      <c r="C49" s="29" t="s">
        <v>19</v>
      </c>
      <c r="D49" s="29" t="s">
        <v>20</v>
      </c>
      <c r="E49" s="29" t="s">
        <v>21</v>
      </c>
      <c r="F49" s="29" t="s">
        <v>22</v>
      </c>
      <c r="G49" s="29" t="s">
        <v>23</v>
      </c>
      <c r="H49" s="29" t="s">
        <v>24</v>
      </c>
      <c r="I49" s="29" t="s">
        <v>25</v>
      </c>
      <c r="J49" s="29" t="s">
        <v>26</v>
      </c>
      <c r="K49" s="29" t="s">
        <v>3</v>
      </c>
      <c r="L49" s="29" t="s">
        <v>27</v>
      </c>
      <c r="M49" s="29" t="s">
        <v>28</v>
      </c>
      <c r="N49" s="29" t="s">
        <v>29</v>
      </c>
      <c r="O49" s="32" t="s">
        <v>30</v>
      </c>
    </row>
    <row r="50" spans="1:18" s="5" customFormat="1" ht="22.25" customHeight="1" x14ac:dyDescent="0.15">
      <c r="A50" s="12" t="s">
        <v>60</v>
      </c>
      <c r="B50" s="13"/>
      <c r="C50" s="13">
        <v>519</v>
      </c>
      <c r="D50" s="13"/>
      <c r="E50" s="13">
        <f t="shared" ref="E50" si="2">22.5+18.5</f>
        <v>41</v>
      </c>
      <c r="F50" s="13"/>
      <c r="G50" s="13">
        <f>386.67+30.04</f>
        <v>416.71000000000004</v>
      </c>
      <c r="H50" s="13">
        <f>11.57+4.27+4+18.52+24.32+14.43+15.92+4.42+5.6+54.65+31.99+27.45+28.63+15+7.73+12.22+8.28+18.58</f>
        <v>307.58</v>
      </c>
      <c r="I50" s="13"/>
      <c r="J50" s="13"/>
      <c r="K50" s="13"/>
      <c r="L50" s="13"/>
      <c r="M50" s="13"/>
      <c r="N50" s="13">
        <f>SUM(tblVacations3445[[#This Row],[JAN]:[DEC]])</f>
        <v>1284.29</v>
      </c>
      <c r="O50" s="36"/>
    </row>
    <row r="51" spans="1:18" s="5" customFormat="1" ht="22.25" customHeight="1" x14ac:dyDescent="0.15">
      <c r="A51" s="12" t="s">
        <v>61</v>
      </c>
      <c r="B51" s="13"/>
      <c r="C51" s="13">
        <v>67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>
        <f>SUM(tblVacations3445[[#This Row],[JAN]:[DEC]])</f>
        <v>67</v>
      </c>
      <c r="O51" s="160">
        <v>46224</v>
      </c>
    </row>
    <row r="52" spans="1:18" s="5" customFormat="1" ht="22.25" customHeight="1" x14ac:dyDescent="0.15">
      <c r="A52" s="12" t="s">
        <v>62</v>
      </c>
      <c r="B52" s="13"/>
      <c r="C52" s="13"/>
      <c r="D52" s="13">
        <f t="shared" ref="D52" si="3">12.84+10.53</f>
        <v>23.369999999999997</v>
      </c>
      <c r="E52" s="13"/>
      <c r="F52" s="13"/>
      <c r="G52" s="13">
        <v>10</v>
      </c>
      <c r="H52" s="13"/>
      <c r="I52" s="13"/>
      <c r="J52" s="13"/>
      <c r="K52" s="13"/>
      <c r="L52" s="13"/>
      <c r="M52" s="13"/>
      <c r="N52" s="13">
        <f>SUM(tblVacations3445[[#This Row],[JAN]:[DEC]])</f>
        <v>33.369999999999997</v>
      </c>
      <c r="O52" s="3"/>
    </row>
    <row r="53" spans="1:18" s="5" customFormat="1" ht="22.25" customHeight="1" x14ac:dyDescent="0.15">
      <c r="A53" s="12" t="s">
        <v>63</v>
      </c>
      <c r="B53" s="13">
        <v>421</v>
      </c>
      <c r="C53" s="13"/>
      <c r="D53" s="13"/>
      <c r="E53" s="13"/>
      <c r="F53" s="13"/>
      <c r="G53" s="13"/>
      <c r="H53" s="13"/>
      <c r="I53" s="13"/>
      <c r="J53" s="13"/>
      <c r="K53" s="30"/>
      <c r="L53" s="13"/>
      <c r="M53" s="13"/>
      <c r="N53" s="13">
        <f>SUM(tblVacations3445[[#This Row],[JAN]:[DEC]])</f>
        <v>421</v>
      </c>
      <c r="O53" s="3"/>
    </row>
    <row r="54" spans="1:18" ht="22.25" customHeight="1" x14ac:dyDescent="0.15">
      <c r="A54" s="12" t="s">
        <v>64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>
        <f>SUM(tblVacations3445[[#This Row],[JAN]:[DEC]])</f>
        <v>0</v>
      </c>
      <c r="O54" s="3"/>
      <c r="P54" s="18"/>
    </row>
    <row r="55" spans="1:18" s="19" customFormat="1" ht="22.25" customHeight="1" x14ac:dyDescent="0.15">
      <c r="A55" s="12" t="s">
        <v>35</v>
      </c>
      <c r="B55" s="13">
        <f>SUBTOTAL(109,tblVacations3445[JAN])</f>
        <v>421</v>
      </c>
      <c r="C55" s="13">
        <f>SUBTOTAL(109,tblVacations3445[FEB])</f>
        <v>586</v>
      </c>
      <c r="D55" s="13">
        <f>SUBTOTAL(109,tblVacations3445[MAR])</f>
        <v>23.369999999999997</v>
      </c>
      <c r="E55" s="13">
        <f>SUBTOTAL(109,tblVacations3445[APR])</f>
        <v>41</v>
      </c>
      <c r="F55" s="13">
        <f>SUBTOTAL(109,tblVacations3445[MAY])</f>
        <v>0</v>
      </c>
      <c r="G55" s="13">
        <f>SUBTOTAL(109,tblVacations3445[JUN])</f>
        <v>426.71000000000004</v>
      </c>
      <c r="H55" s="13">
        <f>SUBTOTAL(109,tblVacations3445[JUL])</f>
        <v>307.58</v>
      </c>
      <c r="I55" s="13">
        <f>SUM(tblVacations3445[AUG])</f>
        <v>0</v>
      </c>
      <c r="J55" s="13">
        <f>SUBTOTAL(109,tblVacations3445[SEP])</f>
        <v>0</v>
      </c>
      <c r="K55" s="13">
        <f>SUBTOTAL(109,tblVacations3445[OCT])</f>
        <v>0</v>
      </c>
      <c r="L55" s="13">
        <f>SUBTOTAL(109,tblVacations3445[NOV])</f>
        <v>0</v>
      </c>
      <c r="M55" s="13">
        <f>SUBTOTAL(109,tblVacations3445[DEC])</f>
        <v>0</v>
      </c>
      <c r="N55" s="13">
        <f>SUBTOTAL(109,tblVacations3445[YEAR])</f>
        <v>1805.6599999999999</v>
      </c>
      <c r="O55" s="31"/>
    </row>
    <row r="56" spans="1:18" s="5" customFormat="1" ht="22" customHeight="1" x14ac:dyDescent="0.1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3"/>
      <c r="P56" s="3"/>
    </row>
    <row r="57" spans="1:18" s="5" customFormat="1" ht="30" customHeight="1" x14ac:dyDescent="0.15">
      <c r="A57" s="16" t="s">
        <v>11</v>
      </c>
      <c r="B57" s="29" t="s">
        <v>18</v>
      </c>
      <c r="C57" s="29" t="s">
        <v>19</v>
      </c>
      <c r="D57" s="29" t="s">
        <v>20</v>
      </c>
      <c r="E57" s="29" t="s">
        <v>21</v>
      </c>
      <c r="F57" s="29" t="s">
        <v>22</v>
      </c>
      <c r="G57" s="29" t="s">
        <v>23</v>
      </c>
      <c r="H57" s="29" t="s">
        <v>24</v>
      </c>
      <c r="I57" s="29" t="s">
        <v>25</v>
      </c>
      <c r="J57" s="29" t="s">
        <v>26</v>
      </c>
      <c r="K57" s="29" t="s">
        <v>3</v>
      </c>
      <c r="L57" s="29" t="s">
        <v>27</v>
      </c>
      <c r="M57" s="29" t="s">
        <v>28</v>
      </c>
      <c r="N57" s="29" t="s">
        <v>65</v>
      </c>
      <c r="O57" s="29" t="s">
        <v>66</v>
      </c>
      <c r="P57" s="29" t="s">
        <v>29</v>
      </c>
      <c r="Q57" s="32" t="s">
        <v>30</v>
      </c>
      <c r="R57" s="29" t="s">
        <v>148</v>
      </c>
    </row>
    <row r="58" spans="1:18" s="5" customFormat="1" ht="30" customHeight="1" x14ac:dyDescent="0.15">
      <c r="A58" s="12" t="s">
        <v>151</v>
      </c>
      <c r="B58" s="13"/>
      <c r="C58" s="13"/>
      <c r="D58" s="13">
        <v>3000</v>
      </c>
      <c r="E58" s="13">
        <v>4000</v>
      </c>
      <c r="F58" s="13"/>
      <c r="G58" s="13"/>
      <c r="H58" s="13"/>
      <c r="I58" s="13"/>
      <c r="J58" s="13"/>
      <c r="K58" s="13"/>
      <c r="L58" s="13"/>
      <c r="M58" s="13"/>
      <c r="N58" s="13">
        <v>7000</v>
      </c>
      <c r="O58" s="13">
        <f>SUM(tblRecreation3546[[#This Row],[JAN]:[DEC]])</f>
        <v>7000</v>
      </c>
      <c r="P58" s="13">
        <f>SUM(tblRecreation3546[[#This Row],[JAN]:[DEC]])</f>
        <v>7000</v>
      </c>
      <c r="Q58" s="3"/>
      <c r="R58" s="13"/>
    </row>
    <row r="59" spans="1:18" s="5" customFormat="1" ht="22.25" customHeight="1" x14ac:dyDescent="0.15">
      <c r="A59" s="12" t="s">
        <v>67</v>
      </c>
      <c r="B59" s="13"/>
      <c r="C59" s="13"/>
      <c r="D59" s="13"/>
      <c r="E59" s="13">
        <v>49.44</v>
      </c>
      <c r="F59" s="13">
        <f>15+15</f>
        <v>30</v>
      </c>
      <c r="G59" s="13">
        <f>15+15+15</f>
        <v>45</v>
      </c>
      <c r="H59" s="13">
        <f>15+15</f>
        <v>30</v>
      </c>
      <c r="I59" s="13"/>
      <c r="J59" s="13"/>
      <c r="K59" s="13"/>
      <c r="L59" s="13"/>
      <c r="M59" s="13"/>
      <c r="N59" s="13">
        <v>2900</v>
      </c>
      <c r="O59" s="13">
        <f>2733+SUM(tblRecreation3546[[#This Row],[JAN]:[JUN]])</f>
        <v>2857.44</v>
      </c>
      <c r="P59" s="13">
        <f>SUM(tblRecreation3546[[#This Row],[JAN]:[DEC]])</f>
        <v>154.44</v>
      </c>
      <c r="Q59" s="160">
        <v>46224</v>
      </c>
      <c r="R59" s="13"/>
    </row>
    <row r="60" spans="1:18" s="5" customFormat="1" ht="22.25" customHeight="1" x14ac:dyDescent="0.15">
      <c r="A60" s="12" t="s">
        <v>122</v>
      </c>
      <c r="B60" s="13"/>
      <c r="C60" s="13">
        <v>271.94</v>
      </c>
      <c r="D60" s="13">
        <f>905.41+106</f>
        <v>1011.41</v>
      </c>
      <c r="E60" s="13">
        <f>268.32+159.15</f>
        <v>427.47</v>
      </c>
      <c r="F60" s="13"/>
      <c r="G60" s="13"/>
      <c r="H60" s="13"/>
      <c r="I60" s="13"/>
      <c r="J60" s="13"/>
      <c r="K60" s="13"/>
      <c r="L60" s="13"/>
      <c r="M60" s="13"/>
      <c r="N60" s="13">
        <v>1802.31</v>
      </c>
      <c r="O60" s="13">
        <f>155 + SUM(tblRecreation3546[[#This Row],[JAN]:[JUN]])</f>
        <v>1865.82</v>
      </c>
      <c r="P60" s="13">
        <f>SUM(tblRecreation3546[[#This Row],[JAN]:[DEC]])</f>
        <v>1710.82</v>
      </c>
      <c r="Q60" s="3"/>
      <c r="R60" s="13"/>
    </row>
    <row r="61" spans="1:18" s="5" customFormat="1" ht="22.25" customHeight="1" x14ac:dyDescent="0.15">
      <c r="A61" s="12" t="s">
        <v>70</v>
      </c>
      <c r="B61" s="13"/>
      <c r="C61" s="13"/>
      <c r="D61" s="13"/>
      <c r="E61" s="13">
        <v>159.15</v>
      </c>
      <c r="F61" s="13">
        <v>158.86000000000001</v>
      </c>
      <c r="G61" s="13"/>
      <c r="H61" s="13"/>
      <c r="I61" s="13"/>
      <c r="J61" s="13"/>
      <c r="K61" s="13"/>
      <c r="L61" s="13"/>
      <c r="M61" s="13"/>
      <c r="N61" s="13">
        <v>1559.89</v>
      </c>
      <c r="O61" s="13">
        <f>1079+ SUM(tblRecreation3546[[#This Row],[JAN]:[JUN]])</f>
        <v>1397.01</v>
      </c>
      <c r="P61" s="13">
        <f>SUM(tblRecreation3546[[#This Row],[JAN]:[DEC]])</f>
        <v>318.01</v>
      </c>
      <c r="Q61" s="3"/>
      <c r="R61" s="13"/>
    </row>
    <row r="62" spans="1:18" s="5" customFormat="1" ht="22.25" customHeight="1" x14ac:dyDescent="0.15">
      <c r="A62" s="12" t="s">
        <v>68</v>
      </c>
      <c r="B62" s="13"/>
      <c r="C62" s="13"/>
      <c r="E62" s="13"/>
      <c r="F62" s="13"/>
      <c r="G62" s="13"/>
      <c r="H62" s="13"/>
      <c r="I62" s="13"/>
      <c r="J62" s="13"/>
      <c r="K62" s="13"/>
      <c r="L62" s="13"/>
      <c r="M62" s="13"/>
      <c r="N62" s="13">
        <v>2082</v>
      </c>
      <c r="O62" s="13">
        <f>1381 +SUM(tblRecreation3546[[#This Row],[JAN]:[JUN]])</f>
        <v>1381</v>
      </c>
      <c r="P62" s="13">
        <f>SUM(tblRecreation3546[[#This Row],[JAN]:[DEC]])</f>
        <v>0</v>
      </c>
      <c r="Q62" s="3"/>
      <c r="R62" s="13"/>
    </row>
    <row r="63" spans="1:18" s="5" customFormat="1" ht="22.25" customHeight="1" x14ac:dyDescent="0.15">
      <c r="A63" s="12" t="s">
        <v>121</v>
      </c>
      <c r="B63" s="13"/>
      <c r="C63" s="13"/>
      <c r="D63" s="13">
        <v>433.08</v>
      </c>
      <c r="E63" s="13"/>
      <c r="F63" s="13"/>
      <c r="G63" s="13"/>
      <c r="H63" s="13"/>
      <c r="I63" s="13"/>
      <c r="J63" s="13"/>
      <c r="K63" s="13"/>
      <c r="L63" s="13"/>
      <c r="M63" s="13"/>
      <c r="N63" s="13">
        <v>1391.26</v>
      </c>
      <c r="O63" s="13">
        <v>1374.02</v>
      </c>
      <c r="P63" s="13">
        <f>SUM(tblRecreation3546[[#This Row],[JAN]:[DEC]])</f>
        <v>433.08</v>
      </c>
      <c r="Q63" s="3"/>
      <c r="R63" s="13"/>
    </row>
    <row r="64" spans="1:18" s="5" customFormat="1" ht="22.25" customHeight="1" x14ac:dyDescent="0.15">
      <c r="A64" s="12" t="s">
        <v>147</v>
      </c>
      <c r="B64" s="31"/>
      <c r="C64" s="31"/>
      <c r="D64" s="31"/>
      <c r="E64" s="136">
        <v>1180</v>
      </c>
      <c r="F64" s="31"/>
      <c r="G64" s="31"/>
      <c r="H64" s="31">
        <v>529.80999999999995</v>
      </c>
      <c r="I64" s="31"/>
      <c r="J64" s="31"/>
      <c r="K64" s="31"/>
      <c r="L64" s="31"/>
      <c r="M64" s="31"/>
      <c r="N64" s="13">
        <v>1180</v>
      </c>
      <c r="O64" s="13">
        <f>SUM(tblRecreation3546[[#This Row],[JAN]:[DEC]])</f>
        <v>1709.81</v>
      </c>
      <c r="P64" s="31">
        <f>SUM(tblRecreation3546[[#This Row],[JAN]:[DEC]])</f>
        <v>1709.81</v>
      </c>
      <c r="Q64" s="31"/>
      <c r="R64" s="13" t="s">
        <v>165</v>
      </c>
    </row>
    <row r="65" spans="1:18" s="5" customFormat="1" ht="22.25" customHeight="1" x14ac:dyDescent="0.15">
      <c r="A65" s="12" t="s">
        <v>69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>
        <v>754.75</v>
      </c>
      <c r="O65" s="13">
        <f>1130.37+ SUM(tblRecreation3546[[#This Row],[JAN]:[JUN]])</f>
        <v>1130.3699999999999</v>
      </c>
      <c r="P65" s="13">
        <f>SUM(tblRecreation3546[[#This Row],[JAN]:[DEC]])</f>
        <v>0</v>
      </c>
      <c r="Q65" s="3"/>
      <c r="R65" s="13"/>
    </row>
    <row r="66" spans="1:18" s="5" customFormat="1" ht="22.25" customHeight="1" x14ac:dyDescent="0.15">
      <c r="A66" s="12" t="s">
        <v>71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>
        <v>30</v>
      </c>
      <c r="O66" s="13">
        <f>42+SUM(tblRecreation3546[[#This Row],[JAN]:[JUN]])</f>
        <v>42</v>
      </c>
      <c r="P66" s="13">
        <f>SUM(tblRecreation3546[[#This Row],[JAN]:[DEC]])</f>
        <v>0</v>
      </c>
      <c r="Q66" s="3"/>
      <c r="R66" s="13"/>
    </row>
    <row r="67" spans="1:18" s="5" customFormat="1" ht="22.25" customHeight="1" x14ac:dyDescent="0.15">
      <c r="A67" s="12" t="s">
        <v>72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>
        <f>SUM(tblRecreation3546[[#This Row],[JAN]:[DEC]])</f>
        <v>0</v>
      </c>
      <c r="P67" s="13">
        <f>SUM(tblRecreation3546[[#This Row],[JAN]:[DEC]])</f>
        <v>0</v>
      </c>
      <c r="Q67" s="3"/>
      <c r="R67" s="13"/>
    </row>
    <row r="68" spans="1:18" s="19" customFormat="1" ht="22.25" customHeight="1" x14ac:dyDescent="0.15">
      <c r="A68" s="12" t="s">
        <v>35</v>
      </c>
      <c r="B68" s="13">
        <f>SUBTOTAL(109,tblRecreation3546[JAN])</f>
        <v>0</v>
      </c>
      <c r="C68" s="13">
        <f>SUBTOTAL(109,tblRecreation3546[FEB])</f>
        <v>271.94</v>
      </c>
      <c r="D68" s="13">
        <f>SUBTOTAL(109,tblRecreation3546[MAR])</f>
        <v>4444.49</v>
      </c>
      <c r="E68" s="13">
        <f>SUBTOTAL(109,tblRecreation3546[APR])</f>
        <v>5816.0599999999995</v>
      </c>
      <c r="F68" s="13">
        <f>SUBTOTAL(109,tblRecreation3546[MAY])</f>
        <v>188.86</v>
      </c>
      <c r="G68" s="13">
        <f>SUBTOTAL(109,tblRecreation3546[JUN])</f>
        <v>45</v>
      </c>
      <c r="H68" s="13">
        <f>SUBTOTAL(109,tblRecreation3546[JUL])</f>
        <v>559.80999999999995</v>
      </c>
      <c r="I68" s="13">
        <f>SUBTOTAL(109,tblRecreation3546[AUG])</f>
        <v>0</v>
      </c>
      <c r="J68" s="13">
        <f>SUBTOTAL(109,tblRecreation3546[SEP])</f>
        <v>0</v>
      </c>
      <c r="K68" s="13">
        <f>SUBTOTAL(109,tblRecreation3546[OCT])</f>
        <v>0</v>
      </c>
      <c r="L68" s="13">
        <f>SUBTOTAL(109,tblRecreation3546[NOV])</f>
        <v>0</v>
      </c>
      <c r="M68" s="13">
        <f>SUBTOTAL(109,tblRecreation3546[DEC])</f>
        <v>0</v>
      </c>
      <c r="N68" s="13">
        <f>SUM(tblRecreation3546[Current Value])</f>
        <v>18700.21</v>
      </c>
      <c r="O68" s="13">
        <f>SUM(tblRecreation3546[Invested Total])</f>
        <v>18757.47</v>
      </c>
      <c r="P68" s="13">
        <f>SUBTOTAL(109,tblRecreation3546[YEAR])</f>
        <v>11326.16</v>
      </c>
      <c r="Q68" s="31"/>
      <c r="R68" s="13"/>
    </row>
    <row r="69" spans="1:18" s="5" customFormat="1" ht="22" customHeight="1" x14ac:dyDescent="0.1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3"/>
      <c r="P69" s="3"/>
    </row>
    <row r="70" spans="1:18" s="5" customFormat="1" ht="30" customHeight="1" x14ac:dyDescent="0.15">
      <c r="A70" s="16" t="s">
        <v>74</v>
      </c>
      <c r="B70" s="29" t="s">
        <v>18</v>
      </c>
      <c r="C70" s="29" t="s">
        <v>19</v>
      </c>
      <c r="D70" s="29" t="s">
        <v>20</v>
      </c>
      <c r="E70" s="29" t="s">
        <v>21</v>
      </c>
      <c r="F70" s="29" t="s">
        <v>22</v>
      </c>
      <c r="G70" s="29" t="s">
        <v>23</v>
      </c>
      <c r="H70" s="29" t="s">
        <v>24</v>
      </c>
      <c r="I70" s="29" t="s">
        <v>25</v>
      </c>
      <c r="J70" s="29" t="s">
        <v>26</v>
      </c>
      <c r="K70" s="29" t="s">
        <v>3</v>
      </c>
      <c r="L70" s="29" t="s">
        <v>27</v>
      </c>
      <c r="M70" s="29" t="s">
        <v>28</v>
      </c>
      <c r="N70" s="29" t="s">
        <v>29</v>
      </c>
      <c r="O70" s="32" t="s">
        <v>30</v>
      </c>
      <c r="Q70" s="127"/>
    </row>
    <row r="71" spans="1:18" s="5" customFormat="1" ht="22.25" customHeight="1" x14ac:dyDescent="0.15">
      <c r="A71" s="12" t="s">
        <v>75</v>
      </c>
      <c r="B71" s="13">
        <v>51.54</v>
      </c>
      <c r="C71" s="13">
        <v>51.52</v>
      </c>
      <c r="D71" s="13">
        <v>51.51</v>
      </c>
      <c r="E71" s="13">
        <v>51.5</v>
      </c>
      <c r="F71" s="13">
        <v>56.54</v>
      </c>
      <c r="G71" s="13">
        <v>56.54</v>
      </c>
      <c r="H71" s="13"/>
      <c r="I71" s="13"/>
      <c r="J71" s="13"/>
      <c r="K71" s="13"/>
      <c r="L71" s="13"/>
      <c r="M71" s="13"/>
      <c r="N71" s="13">
        <f>SUM(tblDues3647[[#This Row],[JAN]:[DEC]])</f>
        <v>319.15000000000003</v>
      </c>
      <c r="O71" s="160">
        <v>46224</v>
      </c>
    </row>
    <row r="72" spans="1:18" s="5" customFormat="1" ht="22.25" customHeight="1" x14ac:dyDescent="0.15">
      <c r="A72" s="12" t="s">
        <v>76</v>
      </c>
      <c r="B72" s="13">
        <v>10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>
        <f>SUM(tblDues3647[[#This Row],[JAN]:[DEC]])</f>
        <v>10</v>
      </c>
      <c r="O72" s="3"/>
    </row>
    <row r="73" spans="1:18" s="5" customFormat="1" ht="22.25" customHeight="1" x14ac:dyDescent="0.15">
      <c r="A73" s="12" t="s">
        <v>160</v>
      </c>
      <c r="B73" s="13"/>
      <c r="C73" s="13"/>
      <c r="D73" s="13">
        <v>3.67</v>
      </c>
      <c r="E73" s="13">
        <v>3.83</v>
      </c>
      <c r="F73" s="13"/>
      <c r="G73" s="13">
        <v>4.5</v>
      </c>
      <c r="H73" s="13"/>
      <c r="I73" s="13"/>
      <c r="J73" s="13"/>
      <c r="K73" s="13"/>
      <c r="L73" s="13"/>
      <c r="M73" s="13"/>
      <c r="N73" s="13">
        <f>SUM(tblDues3647[[#This Row],[JAN]:[DEC]])</f>
        <v>12</v>
      </c>
      <c r="O73" s="3"/>
    </row>
    <row r="74" spans="1:18" s="5" customFormat="1" ht="22.25" customHeight="1" x14ac:dyDescent="0.15">
      <c r="A74" s="12" t="s">
        <v>77</v>
      </c>
      <c r="B74" s="13">
        <v>2.99</v>
      </c>
      <c r="C74" s="13">
        <v>2.99</v>
      </c>
      <c r="D74" s="13">
        <v>2.99</v>
      </c>
      <c r="E74" s="13">
        <v>2.99</v>
      </c>
      <c r="F74" s="13">
        <v>2.99</v>
      </c>
      <c r="G74" s="13">
        <v>2.99</v>
      </c>
      <c r="H74" s="13"/>
      <c r="I74" s="13"/>
      <c r="J74" s="13"/>
      <c r="K74" s="13"/>
      <c r="L74" s="13"/>
      <c r="M74" s="13"/>
      <c r="N74" s="13">
        <f>SUM(tblDues3647[[#This Row],[JAN]:[DEC]])</f>
        <v>17.940000000000001</v>
      </c>
      <c r="O74" s="3"/>
    </row>
    <row r="75" spans="1:18" s="19" customFormat="1" ht="22.25" customHeight="1" x14ac:dyDescent="0.15">
      <c r="A75" s="12" t="s">
        <v>35</v>
      </c>
      <c r="B75" s="13">
        <f>SUBTOTAL(109,tblDues3647[JAN])</f>
        <v>64.53</v>
      </c>
      <c r="C75" s="13">
        <f>SUBTOTAL(109,tblDues3647[FEB])</f>
        <v>54.510000000000005</v>
      </c>
      <c r="D75" s="13">
        <f>SUBTOTAL(109,tblDues3647[MAR])</f>
        <v>58.17</v>
      </c>
      <c r="E75" s="13">
        <f>SUBTOTAL(109,tblDues3647[APR])</f>
        <v>58.32</v>
      </c>
      <c r="F75" s="13">
        <f>SUBTOTAL(109,tblDues3647[MAY])</f>
        <v>59.53</v>
      </c>
      <c r="G75" s="13">
        <f>SUBTOTAL(109,tblDues3647[JUN])</f>
        <v>64.03</v>
      </c>
      <c r="H75" s="13">
        <f>SUBTOTAL(109,tblDues3647[JUL])</f>
        <v>0</v>
      </c>
      <c r="I75" s="13">
        <f>SUBTOTAL(109,tblDues3647[AUG])</f>
        <v>0</v>
      </c>
      <c r="J75" s="13">
        <f>SUBTOTAL(109,tblDues3647[SEP])</f>
        <v>0</v>
      </c>
      <c r="K75" s="13">
        <f>SUBTOTAL(109,tblDues3647[OCT])</f>
        <v>0</v>
      </c>
      <c r="L75" s="13">
        <f>SUBTOTAL(109,tblDues3647[NOV])</f>
        <v>0</v>
      </c>
      <c r="M75" s="13">
        <f>SUBTOTAL(109,tblDues3647[DEC])</f>
        <v>0</v>
      </c>
      <c r="N75" s="13">
        <f>SUBTOTAL(109,tblDues3647[YEAR])</f>
        <v>359.09000000000003</v>
      </c>
      <c r="O75" s="31"/>
    </row>
    <row r="76" spans="1:18" s="5" customFormat="1" ht="22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3"/>
      <c r="P76" s="3"/>
    </row>
    <row r="77" spans="1:18" s="5" customFormat="1" ht="30" customHeight="1" x14ac:dyDescent="0.15">
      <c r="A77" s="16" t="s">
        <v>78</v>
      </c>
      <c r="B77" s="29" t="s">
        <v>18</v>
      </c>
      <c r="C77" s="29" t="s">
        <v>19</v>
      </c>
      <c r="D77" s="29" t="s">
        <v>20</v>
      </c>
      <c r="E77" s="29" t="s">
        <v>21</v>
      </c>
      <c r="F77" s="29" t="s">
        <v>22</v>
      </c>
      <c r="G77" s="29" t="s">
        <v>23</v>
      </c>
      <c r="H77" s="29" t="s">
        <v>24</v>
      </c>
      <c r="I77" s="29" t="s">
        <v>25</v>
      </c>
      <c r="J77" s="29" t="s">
        <v>26</v>
      </c>
      <c r="K77" s="29" t="s">
        <v>3</v>
      </c>
      <c r="L77" s="29" t="s">
        <v>27</v>
      </c>
      <c r="M77" s="29" t="s">
        <v>28</v>
      </c>
      <c r="N77" s="29" t="s">
        <v>29</v>
      </c>
      <c r="O77" s="32" t="s">
        <v>30</v>
      </c>
    </row>
    <row r="78" spans="1:18" s="5" customFormat="1" ht="30" customHeight="1" x14ac:dyDescent="0.15">
      <c r="A78" s="12" t="s">
        <v>159</v>
      </c>
      <c r="B78" s="31"/>
      <c r="C78" s="31"/>
      <c r="D78" s="31"/>
      <c r="E78" s="31"/>
      <c r="F78" s="31">
        <v>26.55</v>
      </c>
      <c r="G78" s="31"/>
      <c r="H78" s="31"/>
      <c r="I78" s="31"/>
      <c r="J78" s="31"/>
      <c r="K78" s="31"/>
      <c r="L78" s="13"/>
      <c r="M78" s="31"/>
      <c r="N78" s="31">
        <f>SUM(tblPersonal3748[[#This Row],[JAN]:[DEC]])</f>
        <v>26.55</v>
      </c>
      <c r="O78" s="31"/>
    </row>
    <row r="79" spans="1:18" s="5" customFormat="1" ht="22.25" customHeight="1" x14ac:dyDescent="0.15">
      <c r="A79" s="12" t="s">
        <v>79</v>
      </c>
      <c r="B79" s="13"/>
      <c r="C79" s="13">
        <v>5</v>
      </c>
      <c r="D79" s="13"/>
      <c r="E79" s="13"/>
      <c r="F79" s="13">
        <v>39.799999999999997</v>
      </c>
      <c r="G79" s="13" t="s">
        <v>168</v>
      </c>
      <c r="H79" s="13">
        <v>45</v>
      </c>
      <c r="I79" s="13"/>
      <c r="J79" s="13"/>
      <c r="K79" s="13"/>
      <c r="L79" s="13"/>
      <c r="M79" s="13"/>
      <c r="N79" s="13">
        <f>SUM(tblPersonal3748[[#This Row],[JAN]:[DEC]])</f>
        <v>89.8</v>
      </c>
      <c r="O79" s="160">
        <v>46224</v>
      </c>
    </row>
    <row r="80" spans="1:18" s="5" customFormat="1" ht="22.25" customHeight="1" x14ac:dyDescent="0.15">
      <c r="A80" s="12" t="s">
        <v>80</v>
      </c>
      <c r="B80" s="13"/>
      <c r="C80" s="13"/>
      <c r="D80" s="13"/>
      <c r="E80" s="13"/>
      <c r="F80" s="13"/>
      <c r="G80" s="13">
        <v>99.81</v>
      </c>
      <c r="H80" s="13">
        <v>21.1</v>
      </c>
      <c r="I80" s="13"/>
      <c r="J80" s="13"/>
      <c r="K80" s="13"/>
      <c r="L80" s="13"/>
      <c r="M80" s="13"/>
      <c r="N80" s="13">
        <f>SUM(tblPersonal3748[[#This Row],[JAN]:[DEC]])</f>
        <v>120.91</v>
      </c>
      <c r="O80" s="3"/>
    </row>
    <row r="81" spans="1:16" s="5" customFormat="1" ht="22.25" customHeight="1" x14ac:dyDescent="0.15">
      <c r="A81" s="12" t="s">
        <v>81</v>
      </c>
      <c r="B81" s="13">
        <v>11.99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>
        <f>SUM(tblPersonal3748[[#This Row],[JAN]:[DEC]])</f>
        <v>11.99</v>
      </c>
      <c r="O81" s="3"/>
    </row>
    <row r="82" spans="1:16" ht="22.25" customHeight="1" x14ac:dyDescent="0.15">
      <c r="A82" s="12" t="s">
        <v>82</v>
      </c>
      <c r="B82" s="13"/>
      <c r="C82" s="13"/>
      <c r="D82" s="13"/>
      <c r="E82" s="13">
        <f>37.99+70.31</f>
        <v>108.30000000000001</v>
      </c>
      <c r="F82" s="13">
        <f>72.17+34.93</f>
        <v>107.1</v>
      </c>
      <c r="G82" s="13">
        <v>14.25</v>
      </c>
      <c r="H82" s="13"/>
      <c r="I82" s="13"/>
      <c r="J82" s="13"/>
      <c r="K82" s="13"/>
      <c r="L82" s="13"/>
      <c r="M82" s="13"/>
      <c r="N82" s="13">
        <f>SUM(tblPersonal3748[[#This Row],[JAN]:[DEC]])</f>
        <v>229.65</v>
      </c>
      <c r="O82" s="3"/>
      <c r="P82" s="18"/>
    </row>
    <row r="83" spans="1:16" ht="22.25" customHeight="1" x14ac:dyDescent="0.15">
      <c r="A83" s="12" t="s">
        <v>145</v>
      </c>
      <c r="B83" s="13"/>
      <c r="C83" s="13"/>
      <c r="D83" s="13">
        <v>70</v>
      </c>
      <c r="E83" s="13"/>
      <c r="F83" s="13"/>
      <c r="G83" s="13"/>
      <c r="H83" s="13"/>
      <c r="I83" s="13"/>
      <c r="J83" s="13"/>
      <c r="K83" s="13"/>
      <c r="L83" s="13"/>
      <c r="M83" s="13"/>
      <c r="N83" s="13">
        <f>SUM(tblPersonal3748[[#This Row],[JAN]:[DEC]])</f>
        <v>70</v>
      </c>
      <c r="O83" s="3"/>
      <c r="P83" s="18"/>
    </row>
    <row r="84" spans="1:16" s="19" customFormat="1" ht="22.25" customHeight="1" x14ac:dyDescent="0.15">
      <c r="A84" s="12" t="s">
        <v>35</v>
      </c>
      <c r="B84" s="13">
        <f>SUBTOTAL(109,tblPersonal3748[JAN])</f>
        <v>11.99</v>
      </c>
      <c r="C84" s="13">
        <f>SUBTOTAL(109,tblPersonal3748[FEB])</f>
        <v>5</v>
      </c>
      <c r="D84" s="13">
        <f>SUBTOTAL(109,tblPersonal3748[MAR])</f>
        <v>70</v>
      </c>
      <c r="E84" s="13">
        <f>SUBTOTAL(109,tblPersonal3748[APR])</f>
        <v>108.30000000000001</v>
      </c>
      <c r="F84" s="13">
        <f>SUBTOTAL(109,tblPersonal3748[MAY])</f>
        <v>173.45</v>
      </c>
      <c r="G84" s="13">
        <f>SUBTOTAL(109,tblPersonal3748[JUN])</f>
        <v>114.06</v>
      </c>
      <c r="H84" s="13">
        <f>SUBTOTAL(109,tblPersonal3748[JUL])</f>
        <v>66.099999999999994</v>
      </c>
      <c r="I84" s="13">
        <f>SUBTOTAL(109,tblPersonal3748[AUG])</f>
        <v>0</v>
      </c>
      <c r="J84" s="13">
        <f>SUBTOTAL(109,tblPersonal3748[SEP])</f>
        <v>0</v>
      </c>
      <c r="K84" s="13">
        <f>SUBTOTAL(109,tblPersonal3748[OCT])</f>
        <v>0</v>
      </c>
      <c r="L84" s="13">
        <f>SUBTOTAL(109,tblPersonal3748[NOV])</f>
        <v>0</v>
      </c>
      <c r="M84" s="13">
        <f>SUBTOTAL(109,tblPersonal3748[DEC])</f>
        <v>0</v>
      </c>
      <c r="N84" s="13">
        <f>SUBTOTAL(109,tblPersonal3748[YEAR])</f>
        <v>548.9</v>
      </c>
      <c r="O84" s="31"/>
    </row>
    <row r="85" spans="1:16" s="5" customFormat="1" ht="22" customHeight="1" x14ac:dyDescent="0.1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3"/>
      <c r="P85" s="3"/>
    </row>
    <row r="86" spans="1:16" s="5" customFormat="1" ht="30" customHeight="1" x14ac:dyDescent="0.15">
      <c r="A86" s="16" t="s">
        <v>83</v>
      </c>
      <c r="B86" s="29" t="s">
        <v>18</v>
      </c>
      <c r="C86" s="29" t="s">
        <v>19</v>
      </c>
      <c r="D86" s="29" t="s">
        <v>20</v>
      </c>
      <c r="E86" s="29" t="s">
        <v>21</v>
      </c>
      <c r="F86" s="29" t="s">
        <v>22</v>
      </c>
      <c r="G86" s="29" t="s">
        <v>23</v>
      </c>
      <c r="H86" s="29" t="s">
        <v>24</v>
      </c>
      <c r="I86" s="29" t="s">
        <v>25</v>
      </c>
      <c r="J86" s="29" t="s">
        <v>26</v>
      </c>
      <c r="K86" s="29" t="s">
        <v>3</v>
      </c>
      <c r="L86" s="29" t="s">
        <v>27</v>
      </c>
      <c r="M86" s="29" t="s">
        <v>28</v>
      </c>
      <c r="N86" s="29" t="s">
        <v>29</v>
      </c>
      <c r="O86" s="32" t="s">
        <v>30</v>
      </c>
      <c r="P86" s="117" t="s">
        <v>84</v>
      </c>
    </row>
    <row r="87" spans="1:16" s="5" customFormat="1" ht="30" customHeight="1" x14ac:dyDescent="0.15">
      <c r="A87" s="12" t="s">
        <v>85</v>
      </c>
      <c r="B87" s="136">
        <v>1000</v>
      </c>
      <c r="C87" s="136">
        <f>1500 + 2990.99</f>
        <v>4490.99</v>
      </c>
      <c r="D87" s="136">
        <f>1500+500+1000+400+1300</f>
        <v>4700</v>
      </c>
      <c r="E87" s="136">
        <f t="shared" ref="E87" si="4">500+300+1000</f>
        <v>1800</v>
      </c>
      <c r="F87" s="140">
        <f>500+500+300+100</f>
        <v>1400</v>
      </c>
      <c r="G87" s="136">
        <f>1000+150+500</f>
        <v>1650</v>
      </c>
      <c r="H87" s="31">
        <v>221</v>
      </c>
      <c r="I87" s="13"/>
      <c r="J87" s="13"/>
      <c r="K87" s="31"/>
      <c r="L87" s="31"/>
      <c r="M87" s="31"/>
      <c r="N87" s="31">
        <f>SUM(tblFinancial3849[[#This Row],[JAN]:[DEC]])</f>
        <v>15261.99</v>
      </c>
      <c r="O87" s="160">
        <v>46224</v>
      </c>
      <c r="P87" s="118"/>
    </row>
    <row r="88" spans="1:16" s="5" customFormat="1" ht="30" customHeight="1" x14ac:dyDescent="0.15">
      <c r="A88" s="12" t="s">
        <v>163</v>
      </c>
      <c r="B88" s="136"/>
      <c r="C88" s="136"/>
      <c r="D88" s="158">
        <f>1500+500+1000+400</f>
        <v>3400</v>
      </c>
      <c r="E88" s="158">
        <f>500+300+1000</f>
        <v>1800</v>
      </c>
      <c r="F88" s="140">
        <f>440+329</f>
        <v>769</v>
      </c>
      <c r="G88" s="136"/>
      <c r="H88" s="31"/>
      <c r="I88" s="13"/>
      <c r="J88" s="13"/>
      <c r="K88" s="159"/>
      <c r="L88" s="159"/>
      <c r="M88" s="31"/>
      <c r="N88" s="31">
        <f>SUM(tblFinancial3849[[#This Row],[JAN]:[DEC]])</f>
        <v>5969</v>
      </c>
      <c r="O88" s="36"/>
      <c r="P88" s="118"/>
    </row>
    <row r="89" spans="1:16" s="5" customFormat="1" ht="22.25" customHeight="1" x14ac:dyDescent="0.15">
      <c r="A89" s="12" t="s">
        <v>86</v>
      </c>
      <c r="B89" s="13"/>
      <c r="C89" s="13">
        <v>150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>
        <f>SUM(tblFinancial3849[[#This Row],[JAN]:[DEC]])</f>
        <v>150</v>
      </c>
      <c r="O89" s="3"/>
    </row>
    <row r="90" spans="1:16" s="5" customFormat="1" ht="22.25" customHeight="1" x14ac:dyDescent="0.15">
      <c r="A90" s="12" t="s">
        <v>119</v>
      </c>
      <c r="B90" s="13">
        <v>43</v>
      </c>
      <c r="C90" s="13">
        <v>789.52</v>
      </c>
      <c r="D90" s="13">
        <v>766.52</v>
      </c>
      <c r="E90" s="13">
        <v>789.52</v>
      </c>
      <c r="F90" s="13">
        <f>440+329+800+100</f>
        <v>1669</v>
      </c>
      <c r="G90" s="13">
        <f>700+200+400+200+200</f>
        <v>1700</v>
      </c>
      <c r="H90" s="13">
        <f>400+70.99</f>
        <v>470.99</v>
      </c>
      <c r="I90" s="13"/>
      <c r="J90" s="13"/>
      <c r="K90" s="31"/>
      <c r="L90" s="31"/>
      <c r="M90" s="13"/>
      <c r="N90" s="13">
        <f>SUM(tblFinancial3849[[#This Row],[JAN]:[DEC]])</f>
        <v>6228.5499999999993</v>
      </c>
      <c r="O90" s="3"/>
    </row>
    <row r="91" spans="1:16" ht="22.25" customHeight="1" x14ac:dyDescent="0.15">
      <c r="A91" s="12" t="s">
        <v>87</v>
      </c>
      <c r="B91" s="13"/>
      <c r="C91" s="13"/>
      <c r="D91" s="13"/>
      <c r="E91" s="13"/>
      <c r="F91" s="13"/>
      <c r="G91" s="13">
        <f>31.38+70.15</f>
        <v>101.53</v>
      </c>
      <c r="H91" s="13"/>
      <c r="I91" s="13"/>
      <c r="J91" s="13"/>
      <c r="K91" s="13"/>
      <c r="L91" s="13"/>
      <c r="M91" s="13"/>
      <c r="N91" s="13">
        <f>SUM(tblFinancial3849[[#This Row],[JAN]:[DEC]])</f>
        <v>101.53</v>
      </c>
      <c r="O91" s="3"/>
      <c r="P91" s="5"/>
    </row>
    <row r="92" spans="1:16" s="19" customFormat="1" ht="22.25" customHeight="1" x14ac:dyDescent="0.15">
      <c r="A92" s="12" t="s">
        <v>35</v>
      </c>
      <c r="B92" s="13">
        <f>SUBTOTAL(109,tblFinancial3849[JAN])</f>
        <v>1043</v>
      </c>
      <c r="C92" s="13">
        <f>SUBTOTAL(109,tblFinancial3849[FEB])</f>
        <v>5430.51</v>
      </c>
      <c r="D92" s="13">
        <f>SUBTOTAL(109,tblFinancial3849[MAR])</f>
        <v>8866.52</v>
      </c>
      <c r="E92" s="13">
        <f>SUBTOTAL(109,tblFinancial3849[APR])</f>
        <v>4389.5200000000004</v>
      </c>
      <c r="F92" s="13">
        <f>SUBTOTAL(109,tblFinancial3849[MAY])</f>
        <v>3838</v>
      </c>
      <c r="G92" s="13">
        <f>SUBTOTAL(109,tblFinancial3849[JUN])</f>
        <v>3451.53</v>
      </c>
      <c r="H92" s="13">
        <f>SUBTOTAL(109,tblFinancial3849[JUL])</f>
        <v>691.99</v>
      </c>
      <c r="I92" s="13">
        <f>SUBTOTAL(109,tblFinancial3849[AUG])</f>
        <v>0</v>
      </c>
      <c r="J92" s="13">
        <f>SUBTOTAL(109,tblFinancial3849[SEP])</f>
        <v>0</v>
      </c>
      <c r="K92" s="13">
        <f>SUBTOTAL(109,tblFinancial3849[OCT])</f>
        <v>0</v>
      </c>
      <c r="L92" s="13">
        <f>SUBTOTAL(109,tblFinancial3849[NOV])</f>
        <v>0</v>
      </c>
      <c r="M92" s="13">
        <f>SUBTOTAL(109,tblFinancial3849[DEC])</f>
        <v>0</v>
      </c>
      <c r="N92" s="13">
        <f>SUBTOTAL(109,tblFinancial3849[YEAR])</f>
        <v>27711.069999999996</v>
      </c>
      <c r="O92" s="31"/>
      <c r="P92" s="31"/>
    </row>
    <row r="93" spans="1:16" s="5" customFormat="1" ht="22" customHeight="1" x14ac:dyDescent="0.1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3"/>
      <c r="P93" s="3"/>
    </row>
    <row r="94" spans="1:16" s="5" customFormat="1" ht="30" customHeight="1" x14ac:dyDescent="0.15">
      <c r="A94" s="16" t="s">
        <v>88</v>
      </c>
      <c r="B94" s="29" t="s">
        <v>18</v>
      </c>
      <c r="C94" s="29" t="s">
        <v>19</v>
      </c>
      <c r="D94" s="29" t="s">
        <v>20</v>
      </c>
      <c r="E94" s="29" t="s">
        <v>21</v>
      </c>
      <c r="F94" s="29" t="s">
        <v>22</v>
      </c>
      <c r="G94" s="29" t="s">
        <v>23</v>
      </c>
      <c r="H94" s="29" t="s">
        <v>24</v>
      </c>
      <c r="I94" s="29" t="s">
        <v>25</v>
      </c>
      <c r="J94" s="29" t="s">
        <v>26</v>
      </c>
      <c r="K94" s="29" t="s">
        <v>3</v>
      </c>
      <c r="L94" s="29" t="s">
        <v>27</v>
      </c>
      <c r="M94" s="29" t="s">
        <v>28</v>
      </c>
      <c r="N94" s="29" t="s">
        <v>29</v>
      </c>
      <c r="O94" s="32" t="s">
        <v>30</v>
      </c>
    </row>
    <row r="95" spans="1:16" s="5" customFormat="1" ht="22.25" customHeight="1" x14ac:dyDescent="0.15">
      <c r="A95" s="14" t="s">
        <v>158</v>
      </c>
      <c r="B95" s="13"/>
      <c r="C95" s="13">
        <v>80</v>
      </c>
      <c r="D95" s="13"/>
      <c r="E95" s="13">
        <f>43.93+30+10.62</f>
        <v>84.550000000000011</v>
      </c>
      <c r="F95" s="13"/>
      <c r="G95" s="13"/>
      <c r="H95" s="13"/>
      <c r="I95" s="13"/>
      <c r="J95" s="13"/>
      <c r="K95" s="13"/>
      <c r="L95" s="13"/>
      <c r="M95" s="13"/>
      <c r="N95" s="13">
        <f>SUM(tblMisc3950[[#This Row],[JAN]:[DEC]])</f>
        <v>164.55</v>
      </c>
      <c r="O95" s="160">
        <v>46224</v>
      </c>
    </row>
    <row r="96" spans="1:16" s="20" customFormat="1" ht="22.25" customHeight="1" x14ac:dyDescent="0.15">
      <c r="A96" s="12" t="s">
        <v>35</v>
      </c>
      <c r="B96" s="13">
        <f>SUBTOTAL(109,tblMisc3950[JAN])</f>
        <v>0</v>
      </c>
      <c r="C96" s="13">
        <f>SUBTOTAL(109,tblMisc3950[FEB])</f>
        <v>80</v>
      </c>
      <c r="D96" s="13">
        <f>SUBTOTAL(109,tblMisc3950[MAR])</f>
        <v>0</v>
      </c>
      <c r="E96" s="13">
        <f>SUBTOTAL(109,tblMisc3950[APR])</f>
        <v>84.550000000000011</v>
      </c>
      <c r="F96" s="13">
        <f>SUBTOTAL(109,tblMisc3950[MAY])</f>
        <v>0</v>
      </c>
      <c r="G96" s="13">
        <f>SUBTOTAL(109,tblMisc3950[JUN])</f>
        <v>0</v>
      </c>
      <c r="H96" s="13">
        <f>SUBTOTAL(109,tblMisc3950[JUL])</f>
        <v>0</v>
      </c>
      <c r="I96" s="13">
        <f>SUBTOTAL(109,tblMisc3950[AUG])</f>
        <v>0</v>
      </c>
      <c r="J96" s="13">
        <f>SUBTOTAL(109,tblMisc3950[SEP])</f>
        <v>0</v>
      </c>
      <c r="K96" s="13">
        <f>SUBTOTAL(109,tblMisc3950[OCT])</f>
        <v>0</v>
      </c>
      <c r="L96" s="13">
        <f>SUBTOTAL(109,tblMisc3950[NOV])</f>
        <v>0</v>
      </c>
      <c r="M96" s="13">
        <f>SUBTOTAL(109,tblMisc3950[DEC])</f>
        <v>0</v>
      </c>
      <c r="N96" s="13">
        <f>SUBTOTAL(109,tblMisc3950[YEAR])</f>
        <v>164.55</v>
      </c>
      <c r="O96" s="31"/>
    </row>
    <row r="97" spans="1:24" ht="22" customHeight="1" x14ac:dyDescent="0.15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3"/>
    </row>
    <row r="98" spans="1:24" ht="22" customHeight="1" x14ac:dyDescent="0.15">
      <c r="A98" s="33" t="s">
        <v>90</v>
      </c>
      <c r="B98" s="149" t="s">
        <v>18</v>
      </c>
      <c r="C98" s="149" t="s">
        <v>19</v>
      </c>
      <c r="D98" s="149" t="s">
        <v>20</v>
      </c>
      <c r="E98" s="149" t="s">
        <v>21</v>
      </c>
      <c r="F98" s="149" t="s">
        <v>22</v>
      </c>
      <c r="G98" s="149" t="s">
        <v>23</v>
      </c>
      <c r="H98" s="149" t="s">
        <v>24</v>
      </c>
      <c r="I98" s="149" t="s">
        <v>25</v>
      </c>
      <c r="J98" s="149" t="s">
        <v>26</v>
      </c>
      <c r="K98" s="149" t="s">
        <v>3</v>
      </c>
      <c r="L98" s="149" t="s">
        <v>27</v>
      </c>
      <c r="M98" s="149" t="s">
        <v>28</v>
      </c>
      <c r="N98" s="149" t="s">
        <v>29</v>
      </c>
      <c r="O98" s="150" t="s">
        <v>30</v>
      </c>
      <c r="P98" s="35" t="s">
        <v>91</v>
      </c>
      <c r="Q98" s="34" t="s">
        <v>35</v>
      </c>
      <c r="R98" s="119" t="s">
        <v>118</v>
      </c>
      <c r="S98" s="119" t="s">
        <v>124</v>
      </c>
      <c r="T98" s="119" t="s">
        <v>125</v>
      </c>
      <c r="U98" s="4"/>
      <c r="V98" s="4"/>
      <c r="W98" s="35" t="s">
        <v>91</v>
      </c>
      <c r="X98" s="34" t="s">
        <v>35</v>
      </c>
    </row>
    <row r="99" spans="1:24" ht="22" customHeight="1" x14ac:dyDescent="0.15">
      <c r="A99" s="30" t="s">
        <v>92</v>
      </c>
      <c r="B99" s="151"/>
      <c r="C99" s="152"/>
      <c r="D99" s="151"/>
      <c r="E99" s="152"/>
      <c r="F99" s="151"/>
      <c r="G99" s="152"/>
      <c r="H99" s="151"/>
      <c r="I99" s="152"/>
      <c r="J99" s="151"/>
      <c r="K99" s="152"/>
      <c r="L99" s="151"/>
      <c r="M99" s="152"/>
      <c r="N99" s="151">
        <f>SUM(B99:M99)</f>
        <v>0</v>
      </c>
      <c r="O99" s="160">
        <v>46224</v>
      </c>
      <c r="P99" s="131">
        <v>19932.95</v>
      </c>
      <c r="Q99" s="132">
        <v>22100.720000000001</v>
      </c>
      <c r="R99" s="132">
        <f>Q99-P99</f>
        <v>2167.7700000000004</v>
      </c>
      <c r="S99" s="121">
        <v>9.6000000000000002E-2</v>
      </c>
      <c r="T99" s="122">
        <v>23000</v>
      </c>
      <c r="U99" s="4"/>
      <c r="V99" s="4"/>
      <c r="W99" s="11">
        <v>21237.06</v>
      </c>
      <c r="X99" s="4">
        <v>21237.06</v>
      </c>
    </row>
    <row r="100" spans="1:24" ht="22" customHeight="1" x14ac:dyDescent="0.15">
      <c r="A100" s="30" t="s">
        <v>93</v>
      </c>
      <c r="B100" s="153"/>
      <c r="C100" s="154"/>
      <c r="D100" s="155"/>
      <c r="E100" s="154"/>
      <c r="F100" s="155"/>
      <c r="G100" s="154"/>
      <c r="H100" s="155"/>
      <c r="I100" s="154"/>
      <c r="J100" s="155"/>
      <c r="K100" s="154"/>
      <c r="L100" s="155"/>
      <c r="M100" s="154"/>
      <c r="N100" s="151">
        <f t="shared" ref="N100:N107" si="5">SUM(B100:M100)</f>
        <v>0</v>
      </c>
      <c r="O100" s="156"/>
      <c r="P100" s="131">
        <f>9920.79</f>
        <v>9920.7900000000009</v>
      </c>
      <c r="Q100" s="132">
        <v>9920.7900000000009</v>
      </c>
      <c r="R100" s="132">
        <f t="shared" ref="R100:R107" si="6">Q100-P100</f>
        <v>0</v>
      </c>
      <c r="S100" s="121">
        <v>9.6500000000000002E-2</v>
      </c>
      <c r="T100" s="122">
        <v>12675</v>
      </c>
      <c r="U100" s="4"/>
      <c r="V100" s="4"/>
      <c r="W100" s="11">
        <v>9220.7900000000009</v>
      </c>
      <c r="X100" s="4">
        <v>9220.7900000000009</v>
      </c>
    </row>
    <row r="101" spans="1:24" ht="22" customHeight="1" x14ac:dyDescent="0.15">
      <c r="A101" s="3" t="s">
        <v>94</v>
      </c>
      <c r="B101" s="153"/>
      <c r="C101" s="154"/>
      <c r="D101" s="155"/>
      <c r="E101" s="154"/>
      <c r="F101" s="155"/>
      <c r="G101" s="154">
        <v>1000</v>
      </c>
      <c r="H101" s="155"/>
      <c r="I101" s="154"/>
      <c r="J101" s="155"/>
      <c r="K101" s="154"/>
      <c r="L101" s="155"/>
      <c r="M101" s="154"/>
      <c r="N101" s="151">
        <f t="shared" si="5"/>
        <v>1000</v>
      </c>
      <c r="O101" s="156"/>
      <c r="P101" s="131">
        <v>31599.82</v>
      </c>
      <c r="Q101" s="132">
        <v>31599.82</v>
      </c>
      <c r="R101" s="132">
        <f t="shared" si="6"/>
        <v>0</v>
      </c>
      <c r="S101" s="121">
        <v>0.09</v>
      </c>
      <c r="T101" s="4"/>
      <c r="U101" s="4"/>
      <c r="V101" s="4"/>
      <c r="W101" s="11">
        <v>16184.06</v>
      </c>
      <c r="X101" s="4">
        <v>16184.06</v>
      </c>
    </row>
    <row r="102" spans="1:24" ht="22" customHeight="1" x14ac:dyDescent="0.15">
      <c r="A102" s="3" t="s">
        <v>95</v>
      </c>
      <c r="B102" s="153"/>
      <c r="C102" s="154"/>
      <c r="D102" s="155"/>
      <c r="E102" s="154"/>
      <c r="F102" s="155"/>
      <c r="G102" s="154"/>
      <c r="H102" s="155"/>
      <c r="I102" s="154"/>
      <c r="J102" s="155"/>
      <c r="K102" s="154"/>
      <c r="L102" s="155"/>
      <c r="M102" s="154"/>
      <c r="N102" s="151">
        <f t="shared" si="5"/>
        <v>0</v>
      </c>
      <c r="O102" s="156"/>
      <c r="P102" s="131">
        <v>1791.44</v>
      </c>
      <c r="Q102" s="132">
        <f>11000+4215.16</f>
        <v>15215.16</v>
      </c>
      <c r="R102" s="132">
        <f t="shared" si="6"/>
        <v>13423.72</v>
      </c>
      <c r="S102" s="121">
        <v>0.121</v>
      </c>
      <c r="T102" s="4">
        <v>0</v>
      </c>
      <c r="U102" s="4"/>
      <c r="V102" s="4"/>
      <c r="W102" s="11">
        <v>5065.96</v>
      </c>
      <c r="X102" s="4">
        <v>9943.6200000000008</v>
      </c>
    </row>
    <row r="103" spans="1:24" ht="22" customHeight="1" x14ac:dyDescent="0.15">
      <c r="A103" s="3" t="s">
        <v>96</v>
      </c>
      <c r="B103" s="153"/>
      <c r="C103" s="154"/>
      <c r="D103" s="155"/>
      <c r="E103" s="154"/>
      <c r="F103" s="155"/>
      <c r="G103" s="154"/>
      <c r="H103" s="155">
        <f>1000+100+100+350+708.58+295+400+200</f>
        <v>3153.58</v>
      </c>
      <c r="I103" s="154"/>
      <c r="J103" s="155"/>
      <c r="K103" s="154"/>
      <c r="L103" s="155"/>
      <c r="M103" s="154"/>
      <c r="N103" s="151">
        <f t="shared" si="5"/>
        <v>3153.58</v>
      </c>
      <c r="O103" s="156"/>
      <c r="P103" s="131">
        <f>tblEntertainment3244[[#Totals],[Balance]]</f>
        <v>2014</v>
      </c>
      <c r="Q103" s="131">
        <f>6000 + 2200</f>
        <v>8200</v>
      </c>
      <c r="R103" s="132">
        <f t="shared" si="6"/>
        <v>6186</v>
      </c>
      <c r="S103" s="4">
        <v>0</v>
      </c>
      <c r="T103" s="4"/>
      <c r="U103" s="4"/>
      <c r="V103" s="4"/>
      <c r="W103" s="11">
        <f>tblEntertainment3244[[#Totals],[Balance]]</f>
        <v>2014</v>
      </c>
      <c r="X103" s="11">
        <f>tblEntertainment3244[[#Totals],[Balance]]</f>
        <v>2014</v>
      </c>
    </row>
    <row r="104" spans="1:24" ht="22" customHeight="1" x14ac:dyDescent="0.15">
      <c r="A104" s="3" t="s">
        <v>140</v>
      </c>
      <c r="B104" s="153"/>
      <c r="C104" s="154">
        <v>5000</v>
      </c>
      <c r="D104" s="155"/>
      <c r="E104" s="154"/>
      <c r="F104" s="155"/>
      <c r="G104" s="154"/>
      <c r="H104" s="155"/>
      <c r="I104" s="154"/>
      <c r="J104" s="155"/>
      <c r="K104" s="154"/>
      <c r="L104" s="155"/>
      <c r="M104" s="154"/>
      <c r="N104" s="151">
        <f t="shared" si="5"/>
        <v>5000</v>
      </c>
      <c r="O104" s="156"/>
      <c r="P104" s="131">
        <v>0</v>
      </c>
      <c r="Q104" s="131">
        <v>5687.02</v>
      </c>
      <c r="R104" s="132">
        <f t="shared" si="6"/>
        <v>5687.02</v>
      </c>
      <c r="S104" s="4">
        <v>8</v>
      </c>
      <c r="T104" s="4"/>
      <c r="U104" s="4"/>
      <c r="V104" s="4"/>
      <c r="W104" s="11"/>
      <c r="X104" s="11"/>
    </row>
    <row r="105" spans="1:24" ht="22" customHeight="1" x14ac:dyDescent="0.15">
      <c r="A105" s="3" t="s">
        <v>141</v>
      </c>
      <c r="B105" s="153"/>
      <c r="C105" s="154"/>
      <c r="D105" s="155"/>
      <c r="E105" s="154"/>
      <c r="F105" s="155"/>
      <c r="G105" s="154"/>
      <c r="H105" s="155"/>
      <c r="I105" s="154"/>
      <c r="J105" s="155"/>
      <c r="K105" s="154"/>
      <c r="L105" s="155"/>
      <c r="M105" s="154"/>
      <c r="N105" s="151">
        <f t="shared" si="5"/>
        <v>0</v>
      </c>
      <c r="O105" s="156"/>
      <c r="P105" s="131">
        <v>0</v>
      </c>
      <c r="Q105" s="131">
        <v>1844.07</v>
      </c>
      <c r="R105" s="132">
        <f t="shared" si="6"/>
        <v>1844.07</v>
      </c>
      <c r="S105" s="4">
        <v>8</v>
      </c>
      <c r="T105" s="4"/>
      <c r="U105" s="4"/>
      <c r="V105" s="4"/>
      <c r="W105" s="11"/>
      <c r="X105" s="11"/>
    </row>
    <row r="106" spans="1:24" ht="22" customHeight="1" x14ac:dyDescent="0.15">
      <c r="A106" s="3" t="s">
        <v>161</v>
      </c>
      <c r="B106" s="153">
        <v>75</v>
      </c>
      <c r="C106" s="154">
        <v>75</v>
      </c>
      <c r="D106" s="155">
        <v>75</v>
      </c>
      <c r="E106" s="154">
        <v>75</v>
      </c>
      <c r="F106" s="155">
        <v>75</v>
      </c>
      <c r="G106" s="154">
        <v>75</v>
      </c>
      <c r="H106" s="155"/>
      <c r="I106" s="154"/>
      <c r="J106" s="155"/>
      <c r="K106" s="154"/>
      <c r="L106" s="155"/>
      <c r="M106" s="154"/>
      <c r="N106" s="151">
        <f t="shared" si="5"/>
        <v>450</v>
      </c>
      <c r="O106" s="156"/>
      <c r="P106" s="131">
        <v>0</v>
      </c>
      <c r="Q106" s="131">
        <v>400</v>
      </c>
      <c r="R106" s="132">
        <f t="shared" si="6"/>
        <v>400</v>
      </c>
      <c r="S106" s="4"/>
      <c r="T106" s="4"/>
      <c r="U106" s="4"/>
      <c r="V106" s="4"/>
      <c r="W106" s="11"/>
      <c r="X106" s="11"/>
    </row>
    <row r="107" spans="1:24" ht="22" customHeight="1" x14ac:dyDescent="0.15">
      <c r="A107" s="33" t="s">
        <v>35</v>
      </c>
      <c r="B107" s="153"/>
      <c r="C107" s="154"/>
      <c r="D107" s="155"/>
      <c r="E107" s="154"/>
      <c r="F107" s="155"/>
      <c r="G107" s="154"/>
      <c r="H107" s="155"/>
      <c r="I107" s="154"/>
      <c r="J107" s="155"/>
      <c r="K107" s="154"/>
      <c r="L107" s="155"/>
      <c r="M107" s="154"/>
      <c r="N107" s="151">
        <f t="shared" si="5"/>
        <v>0</v>
      </c>
      <c r="O107" s="156"/>
      <c r="P107" s="131">
        <f>SUM(P99:P106)</f>
        <v>65259</v>
      </c>
      <c r="Q107" s="132">
        <f>SUM(Q99:Q103)</f>
        <v>87036.49</v>
      </c>
      <c r="R107" s="132">
        <f t="shared" si="6"/>
        <v>21777.490000000005</v>
      </c>
      <c r="S107" s="4"/>
      <c r="T107" s="4"/>
      <c r="U107" s="4"/>
      <c r="V107" s="4"/>
      <c r="W107" s="11">
        <f>SUM(W99:W103)</f>
        <v>53721.87</v>
      </c>
      <c r="X107" s="4">
        <f>SUM(X99:X103)</f>
        <v>58599.530000000006</v>
      </c>
    </row>
    <row r="108" spans="1:24" ht="22" customHeight="1" x14ac:dyDescent="0.15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3"/>
    </row>
    <row r="109" spans="1:24" ht="30" customHeight="1" x14ac:dyDescent="0.15">
      <c r="A109" s="21" t="s">
        <v>97</v>
      </c>
      <c r="B109" s="22" t="s">
        <v>18</v>
      </c>
      <c r="C109" s="23" t="s">
        <v>19</v>
      </c>
      <c r="D109" s="22" t="s">
        <v>20</v>
      </c>
      <c r="E109" s="23" t="s">
        <v>21</v>
      </c>
      <c r="F109" s="22" t="s">
        <v>22</v>
      </c>
      <c r="G109" s="23" t="s">
        <v>23</v>
      </c>
      <c r="H109" s="22" t="s">
        <v>24</v>
      </c>
      <c r="I109" s="23" t="s">
        <v>25</v>
      </c>
      <c r="J109" s="22" t="s">
        <v>26</v>
      </c>
      <c r="K109" s="23" t="s">
        <v>3</v>
      </c>
      <c r="L109" s="22" t="s">
        <v>27</v>
      </c>
      <c r="M109" s="23" t="s">
        <v>28</v>
      </c>
      <c r="N109" s="22" t="s">
        <v>29</v>
      </c>
      <c r="O109" s="21" t="s">
        <v>15</v>
      </c>
    </row>
    <row r="110" spans="1:24" ht="30" customHeight="1" x14ac:dyDescent="0.15">
      <c r="A110" s="133" t="s">
        <v>142</v>
      </c>
      <c r="B110" s="134"/>
      <c r="C110" s="134">
        <f>tblIncome2833[[#Totals],[FEB]]</f>
        <v>10951.16</v>
      </c>
      <c r="D110" s="134">
        <f>tblIncome2833[[#Totals],[MAR]]</f>
        <v>3077</v>
      </c>
      <c r="E110" s="134">
        <f>tblIncome2833[[#Totals],[APR]]</f>
        <v>6203.37</v>
      </c>
      <c r="F110" s="134">
        <f>tblIncome2833[[#Totals],[MAY]]</f>
        <v>6143.99</v>
      </c>
      <c r="G110" s="134">
        <f>tblIncome2833[[#Totals],[JUN]]</f>
        <v>6273.98</v>
      </c>
      <c r="H110" s="134">
        <f>tblIncome2833[[#Totals],[JUL]]</f>
        <v>6101.1</v>
      </c>
      <c r="I110" s="134">
        <f>tblIncome2833[[#Totals],[AUG]]</f>
        <v>0</v>
      </c>
      <c r="J110" s="134">
        <f>tblIncome2833[[#Totals],[SEP]]</f>
        <v>0</v>
      </c>
      <c r="K110" s="134">
        <f>tblIncome2833[[#Totals],[OCT]]</f>
        <v>0</v>
      </c>
      <c r="L110" s="134">
        <f>tblIncome2833[[#Totals],[NOV]]</f>
        <v>0</v>
      </c>
      <c r="M110" s="134">
        <f>tblIncome2833[[#Totals],[DEC]]</f>
        <v>0</v>
      </c>
      <c r="N110" s="134"/>
      <c r="O110" s="135"/>
    </row>
    <row r="111" spans="1:24" ht="22" customHeight="1" x14ac:dyDescent="0.15">
      <c r="A111" s="6" t="s">
        <v>98</v>
      </c>
      <c r="B111" s="8">
        <f t="shared" ref="B111:J111" si="7">SUM(B22,B32,B38,B47,B55,B75,B84,B92,B96)</f>
        <v>3054.7200000000003</v>
      </c>
      <c r="C111" s="8">
        <f t="shared" si="7"/>
        <v>8114.1900000000005</v>
      </c>
      <c r="D111" s="8">
        <f t="shared" si="7"/>
        <v>11912.800000000001</v>
      </c>
      <c r="E111" s="8">
        <f t="shared" si="7"/>
        <v>6137.6600000000008</v>
      </c>
      <c r="F111" s="8">
        <f t="shared" si="7"/>
        <v>5825.41</v>
      </c>
      <c r="G111" s="8">
        <f t="shared" si="7"/>
        <v>5436.4</v>
      </c>
      <c r="H111" s="8">
        <f t="shared" si="7"/>
        <v>1197.1100000000001</v>
      </c>
      <c r="I111" s="8">
        <f t="shared" si="7"/>
        <v>0</v>
      </c>
      <c r="J111" s="8">
        <f t="shared" si="7"/>
        <v>0</v>
      </c>
      <c r="K111" s="8">
        <f>SUM(K22,K32,K38,K47,K55,K75,K84,K92)</f>
        <v>0</v>
      </c>
      <c r="L111" s="8">
        <f>SUM(L22,L32,L38,L47,L55,L75,L84,L92)</f>
        <v>0</v>
      </c>
      <c r="M111" s="8">
        <f>SUM(M22,M32,M38,M47,M55,M75,M84,M92)</f>
        <v>0</v>
      </c>
      <c r="N111" s="8">
        <f>SUM(N22,N32,N38,N47,N55,N75,N84,N92)</f>
        <v>41513.74</v>
      </c>
      <c r="O111" s="9"/>
    </row>
    <row r="112" spans="1:24" ht="22" customHeight="1" x14ac:dyDescent="0.15">
      <c r="A112" s="6" t="s">
        <v>99</v>
      </c>
      <c r="B112" s="8">
        <f xml:space="preserve"> SUM(tblHome2941[[#Totals],[JAN]] + tblDaily3042[[#Totals],[JAN]] + tblTransportation3143[[#Totals],[JAN]] + tblEntertainment3244[[#Totals],[JAN]] + tblVacations3445[[#Totals],[JAN]]+ tblDues3647[[#Totals],[JAN]]+ tblPersonal3748[[#Totals],[JAN]])</f>
        <v>2011.72</v>
      </c>
      <c r="C112" s="8">
        <f xml:space="preserve"> SUM(tblHome2941[[#Totals],[FEB]] + tblDaily3042[[#Totals],[FEB]] + tblTransportation3143[[#Totals],[FEB]] + tblEntertainment3244[[#Totals],[FEB]] + tblVacations3445[[#Totals],[FEB]]+ tblDues3647[[#Totals],[FEB]]+ tblPersonal3748[[#Totals],[FEB]])</f>
        <v>2603.6800000000003</v>
      </c>
      <c r="D112" s="8">
        <f xml:space="preserve"> SUM(tblHome2941[[#Totals],[MAR]] + tblDaily3042[[#Totals],[MAR]] + tblTransportation3143[[#Totals],[MAR]] + tblEntertainment3244[[#Totals],[MAR]] + tblVacations3445[[#Totals],[MAR]]+ tblDues3647[[#Totals],[MAR]]+ tblPersonal3748[[#Totals],[MAR]])</f>
        <v>3046.28</v>
      </c>
      <c r="E112" s="8">
        <f xml:space="preserve"> SUM(tblHome2941[[#Totals],[APR]] + tblDaily3042[[#Totals],[APR]] + tblTransportation3143[[#Totals],[APR]] + tblEntertainment3244[[#Totals],[APR]] + tblVacations3445[[#Totals],[APR]]+ tblDues3647[[#Totals],[APR]]+ tblPersonal3748[[#Totals],[APR]])</f>
        <v>1663.59</v>
      </c>
      <c r="F112" s="8">
        <f xml:space="preserve"> SUM(tblHome2941[[#Totals],[MAY]] + tblDaily3042[[#Totals],[MAY]] + tblTransportation3143[[#Totals],[MAY]] + tblEntertainment3244[[#Totals],[MAY]] + tblVacations3445[[#Totals],[MAY]]+ tblDues3647[[#Totals],[MAY]]+ tblPersonal3748[[#Totals],[MAY]])</f>
        <v>1987.41</v>
      </c>
      <c r="G112" s="8">
        <f xml:space="preserve"> SUM(tblHome2941[[#Totals],[JUN]] + tblDaily3042[[#Totals],[JUN]] + tblTransportation3143[[#Totals],[JUN]] + tblEntertainment3244[[#Totals],[JUN]] + tblVacations3445[[#Totals],[JUN]]+ tblDues3647[[#Totals],[JUN]]+ tblPersonal3748[[#Totals],[JUN]])</f>
        <v>1984.87</v>
      </c>
      <c r="H112" s="8">
        <f xml:space="preserve"> SUM(tblHome2941[[#Totals],[JUL]] + tblDaily3042[[#Totals],[JUL]] + tblTransportation3143[[#Totals],[JUL]] + tblEntertainment3244[[#Totals],[JUL]] + tblVacations3445[[#Totals],[JUL]]+ tblDues3647[[#Totals],[JUL]]+ tblPersonal3748[[#Totals],[JUL]])</f>
        <v>505.12</v>
      </c>
      <c r="I112" s="8">
        <f xml:space="preserve"> SUM(tblHome2941[[#Totals],[AUG]] + tblDaily3042[[#Totals],[AUG]] + tblTransportation3143[[#Totals],[AUG]] + tblEntertainment3244[[#Totals],[AUG]] + tblVacations3445[[#Totals],[AUG]]+ tblDues3647[[#Totals],[AUG]]+ tblPersonal3748[[#Totals],[AUG]])</f>
        <v>0</v>
      </c>
      <c r="J112" s="8">
        <f xml:space="preserve"> SUM(tblHome2941[[#Totals],[SEP]] + tblDaily3042[[#Totals],[SEP]] + tblTransportation3143[[#Totals],[SEP]] + tblEntertainment3244[[#Totals],[SEP]] + tblVacations3445[[#Totals],[SEP]]+ tblDues3647[[#Totals],[SEP]]+ tblPersonal3748[[#Totals],[SEP]])</f>
        <v>0</v>
      </c>
      <c r="K112" s="8">
        <f xml:space="preserve"> SUM(tblHome2941[[#Totals],[OCT]] + tblDaily3042[[#Totals],[OCT]] + tblTransportation3143[[#Totals],[OCT]] + tblEntertainment3244[[#Totals],[OCT]] + tblVacations3445[[#Totals],[OCT]]+ tblDues3647[[#Totals],[OCT]]+ tblPersonal3748[[#Totals],[OCT]])</f>
        <v>0</v>
      </c>
      <c r="L112" s="8">
        <f xml:space="preserve"> SUM(tblHome2941[[#Totals],[NOV]] + tblDaily3042[[#Totals],[NOV]] + tblTransportation3143[[#Totals],[NOV]] + tblEntertainment3244[[#Totals],[NOV]] + tblVacations3445[[#Totals],[NOV]]+ tblDues3647[[#Totals],[NOV]]+ tblPersonal3748[[#Totals],[NOV]])</f>
        <v>0</v>
      </c>
      <c r="M112" s="8">
        <f xml:space="preserve"> SUM(tblHome2941[[#Totals],[DEC]] + tblDaily3042[[#Totals],[DEC]] + tblTransportation3143[[#Totals],[DEC]] + tblEntertainment3244[[#Totals],[DEC]] + tblVacations3445[[#Totals],[DEC]]+ tblDues3647[[#Totals],[DEC]]+ tblPersonal3748[[#Totals],[DEC]])</f>
        <v>0</v>
      </c>
      <c r="N112" s="8">
        <f xml:space="preserve"> SUM(tblHome2941[[#Totals],[YEAR]] + tblDaily3042[[#Totals],[YEAR]] + tblTransportation3143[[#Totals],[YEAR]] + tblEntertainment3244[[#Totals],[YEAR]] + tblVacations3445[[#Totals],[YEAR]]+ tblDues3647[[#Totals],[YEAR]]+ tblPersonal3748[[#Totals],[YEAR]])</f>
        <v>13802.67</v>
      </c>
      <c r="O112" s="9"/>
    </row>
    <row r="113" spans="1:15" ht="22" customHeight="1" x14ac:dyDescent="0.15">
      <c r="A113" s="6" t="s">
        <v>162</v>
      </c>
      <c r="B113" s="8"/>
      <c r="C113" s="8"/>
      <c r="D113" s="8"/>
      <c r="E113" s="8"/>
      <c r="F113" s="8"/>
      <c r="G113" s="8"/>
      <c r="H113" s="8">
        <f>396.55+196.99</f>
        <v>593.54</v>
      </c>
      <c r="I113" s="8"/>
      <c r="J113" s="8"/>
      <c r="K113" s="8"/>
      <c r="L113" s="8"/>
      <c r="M113" s="8"/>
      <c r="N113" s="8"/>
      <c r="O113" s="9"/>
    </row>
    <row r="114" spans="1:15" ht="22" customHeight="1" x14ac:dyDescent="0.15">
      <c r="A114" s="6" t="s">
        <v>169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</row>
    <row r="115" spans="1:15" ht="22" customHeight="1" x14ac:dyDescent="0.15">
      <c r="A115" s="6" t="s">
        <v>170</v>
      </c>
      <c r="B115" s="8"/>
      <c r="C115" s="8"/>
      <c r="D115" s="8"/>
      <c r="E115" s="8"/>
      <c r="F115" s="8"/>
      <c r="G115" s="8"/>
      <c r="H115" s="8">
        <v>396.55</v>
      </c>
      <c r="I115" s="8"/>
      <c r="J115" s="8"/>
      <c r="K115" s="8"/>
      <c r="L115" s="8"/>
      <c r="M115" s="8"/>
      <c r="N115" s="8"/>
      <c r="O115" s="9"/>
    </row>
    <row r="116" spans="1:15" ht="22" customHeight="1" x14ac:dyDescent="0.15">
      <c r="A116" s="6" t="s">
        <v>171</v>
      </c>
      <c r="B116" s="8"/>
      <c r="C116" s="8"/>
      <c r="D116" s="8"/>
      <c r="E116" s="8"/>
      <c r="F116" s="8"/>
      <c r="G116" s="8"/>
      <c r="H116" s="8">
        <v>196.9</v>
      </c>
      <c r="I116" s="8"/>
      <c r="J116" s="8"/>
      <c r="K116" s="8"/>
      <c r="L116" s="8"/>
      <c r="M116" s="8"/>
      <c r="N116" s="8"/>
      <c r="O116" s="9"/>
    </row>
    <row r="117" spans="1:15" ht="22" customHeight="1" x14ac:dyDescent="0.15">
      <c r="A117" s="6" t="s">
        <v>100</v>
      </c>
      <c r="B117" s="8">
        <f>SUM(tblRecreation3546[[#Totals],[JAN]])</f>
        <v>0</v>
      </c>
      <c r="C117" s="8">
        <f>SUM(tblRecreation3546[[#Totals],[FEB]])</f>
        <v>271.94</v>
      </c>
      <c r="D117" s="8">
        <f>SUM(tblRecreation3546[[#Totals],[MAR]])</f>
        <v>4444.49</v>
      </c>
      <c r="E117" s="8">
        <f>SUM(tblRecreation3546[[#Totals],[APR]])</f>
        <v>5816.0599999999995</v>
      </c>
      <c r="F117" s="8">
        <f>SUM(tblRecreation3546[[#Totals],[MAY]])</f>
        <v>188.86</v>
      </c>
      <c r="G117" s="8">
        <f>SUM(tblRecreation3546[[#Totals],[JUN]])</f>
        <v>45</v>
      </c>
      <c r="H117" s="8">
        <f>SUM(tblRecreation3546[[#Totals],[JUL]])</f>
        <v>559.80999999999995</v>
      </c>
      <c r="I117" s="8">
        <f>SUM(tblRecreation3546[[#Totals],[AUG]])</f>
        <v>0</v>
      </c>
      <c r="J117" s="8">
        <f>SUM(tblRecreation3546[[#Totals],[SEP]])</f>
        <v>0</v>
      </c>
      <c r="K117" s="8">
        <f>SUM(tblRecreation3546[[#Totals],[OCT]])</f>
        <v>0</v>
      </c>
      <c r="L117" s="8">
        <f>SUM(tblRecreation3546[[#Totals],[NOV]])</f>
        <v>0</v>
      </c>
      <c r="M117" s="8">
        <f>SUM(tblRecreation3546[[#Totals],[DEC]])</f>
        <v>0</v>
      </c>
      <c r="N117" s="8">
        <f>SUM(I117:M117)</f>
        <v>0</v>
      </c>
      <c r="O117" s="9"/>
    </row>
    <row r="120" spans="1:15" ht="22" customHeight="1" x14ac:dyDescent="0.15">
      <c r="A120" s="38" t="s">
        <v>101</v>
      </c>
      <c r="B120" s="11">
        <f>B107</f>
        <v>0</v>
      </c>
    </row>
    <row r="121" spans="1:15" ht="22" customHeight="1" x14ac:dyDescent="0.15">
      <c r="A121" s="10" t="s">
        <v>123</v>
      </c>
    </row>
    <row r="153" spans="7:9" ht="22" customHeight="1" x14ac:dyDescent="0.15">
      <c r="G153" s="123" t="s">
        <v>0</v>
      </c>
      <c r="H153" s="123" t="s">
        <v>152</v>
      </c>
      <c r="I153" s="123" t="s">
        <v>153</v>
      </c>
    </row>
    <row r="154" spans="7:9" ht="22" customHeight="1" x14ac:dyDescent="0.15">
      <c r="G154" t="s">
        <v>154</v>
      </c>
      <c r="H154">
        <f>SUM('2026'!O61,'2026'!O62,'2026'!O63,'2026'!O64)</f>
        <v>5861.84</v>
      </c>
      <c r="I154" s="138">
        <f>H154/$H$159</f>
        <v>0.31250696389225197</v>
      </c>
    </row>
    <row r="155" spans="7:9" ht="22" customHeight="1" x14ac:dyDescent="0.15">
      <c r="G155" t="s">
        <v>155</v>
      </c>
      <c r="H155">
        <f>SUM('2026'!O59,'2026'!O60)</f>
        <v>4723.26</v>
      </c>
      <c r="I155" s="138">
        <f>H155/$H$159</f>
        <v>0.25180688013895264</v>
      </c>
    </row>
    <row r="156" spans="7:9" ht="22" customHeight="1" x14ac:dyDescent="0.15">
      <c r="G156" t="s">
        <v>156</v>
      </c>
      <c r="H156">
        <f>SUM('2026'!O65)</f>
        <v>1130.3699999999999</v>
      </c>
      <c r="I156" s="138">
        <f>H156/$H$159</f>
        <v>6.0262391463241034E-2</v>
      </c>
    </row>
    <row r="157" spans="7:9" ht="22" customHeight="1" x14ac:dyDescent="0.15">
      <c r="G157" t="s">
        <v>147</v>
      </c>
      <c r="H157">
        <f>SUM('2026'!O58)</f>
        <v>7000</v>
      </c>
      <c r="I157" s="138">
        <f>H157/$H$159</f>
        <v>0.37318465656615735</v>
      </c>
    </row>
    <row r="158" spans="7:9" ht="22" customHeight="1" x14ac:dyDescent="0.15">
      <c r="G158" t="s">
        <v>157</v>
      </c>
      <c r="H158">
        <f>SUM('2026'!O66)</f>
        <v>42</v>
      </c>
      <c r="I158" s="138">
        <f>H158/$H$159</f>
        <v>2.2391079393969441E-3</v>
      </c>
    </row>
    <row r="159" spans="7:9" ht="22" customHeight="1" x14ac:dyDescent="0.15">
      <c r="G159" s="123" t="s">
        <v>35</v>
      </c>
      <c r="H159" s="123">
        <f>SUM(H154:H158)</f>
        <v>18757.47</v>
      </c>
      <c r="I159" s="139">
        <f>SUM(I154:I158)</f>
        <v>0.99999999999999989</v>
      </c>
    </row>
  </sheetData>
  <phoneticPr fontId="57" type="noConversion"/>
  <printOptions horizontalCentered="1"/>
  <pageMargins left="0.25" right="0.25" top="0.75" bottom="0.75" header="0.3" footer="0.3"/>
  <pageSetup fitToHeight="0" orientation="landscape"/>
  <headerFooter differentFirst="1"/>
  <ignoredErrors>
    <ignoredError sqref="C111 O59:O63 O65:O66 G10:G11" calculatedColumn="1"/>
  </ignoredErrors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A37C29E5-52A3-4BC2-85BA-E817EABD0F95}">
          <x14:colorSeries theme="0"/>
          <x14:colorNegative theme="6"/>
          <x14:colorAxis rgb="FF000000"/>
          <x14:colorMarkers theme="0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'2026'!B111:M111</xm:f>
              <xm:sqref>O111</xm:sqref>
            </x14:sparkline>
            <x14:sparkline>
              <xm:f>'2026'!B112:M112</xm:f>
              <xm:sqref>O112</xm:sqref>
            </x14:sparkline>
            <x14:sparkline>
              <xm:f>'2026'!B113:M113</xm:f>
              <xm:sqref>O113</xm:sqref>
            </x14:sparkline>
            <x14:sparkline>
              <xm:f>'2026'!B114:M114</xm:f>
              <xm:sqref>O114</xm:sqref>
            </x14:sparkline>
            <x14:sparkline>
              <xm:f>'2026'!B115:M115</xm:f>
              <xm:sqref>O115</xm:sqref>
            </x14:sparkline>
            <x14:sparkline>
              <xm:f>'2026'!B116:M116</xm:f>
              <xm:sqref>O116</xm:sqref>
            </x14:sparkline>
            <x14:sparkline>
              <xm:f>'2026'!B117:M117</xm:f>
              <xm:sqref>O117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90F5-4FA2-2E47-8A8A-887BE2400B57}">
  <dimension ref="A76:L85"/>
  <sheetViews>
    <sheetView topLeftCell="A92" zoomScale="90" workbookViewId="0">
      <selection activeCell="Q100" sqref="Q100"/>
    </sheetView>
  </sheetViews>
  <sheetFormatPr baseColWidth="10" defaultColWidth="8.83203125" defaultRowHeight="13" x14ac:dyDescent="0.15"/>
  <cols>
    <col min="1" max="1" width="21.83203125" customWidth="1"/>
    <col min="2" max="2" width="21.33203125" customWidth="1"/>
    <col min="3" max="3" width="15" customWidth="1"/>
    <col min="4" max="4" width="17.83203125" customWidth="1"/>
    <col min="5" max="5" width="15.1640625" customWidth="1"/>
    <col min="6" max="6" width="14.6640625" customWidth="1"/>
    <col min="7" max="7" width="16.6640625" customWidth="1"/>
    <col min="8" max="8" width="17.6640625" customWidth="1"/>
    <col min="9" max="9" width="12.1640625" customWidth="1"/>
    <col min="10" max="10" width="15.6640625" customWidth="1"/>
    <col min="11" max="11" width="18.1640625" customWidth="1"/>
    <col min="12" max="12" width="9.5" bestFit="1" customWidth="1"/>
  </cols>
  <sheetData>
    <row r="76" spans="1:12" x14ac:dyDescent="0.15">
      <c r="A76" t="s">
        <v>0</v>
      </c>
      <c r="B76" t="s">
        <v>130</v>
      </c>
      <c r="C76" t="s">
        <v>131</v>
      </c>
      <c r="D76" t="s">
        <v>132</v>
      </c>
      <c r="E76" t="s">
        <v>133</v>
      </c>
      <c r="F76" t="s">
        <v>134</v>
      </c>
      <c r="J76" t="s">
        <v>126</v>
      </c>
      <c r="K76" t="s">
        <v>127</v>
      </c>
      <c r="L76" t="s">
        <v>128</v>
      </c>
    </row>
    <row r="77" spans="1:12" x14ac:dyDescent="0.15">
      <c r="A77" t="s">
        <v>6</v>
      </c>
      <c r="B77" s="39">
        <f>SUM(tblHome2941[[#Totals],[JAN]])</f>
        <v>959</v>
      </c>
      <c r="C77" s="39">
        <f>SUM(tblHome2941[[#Totals],[FEB]])</f>
        <v>800</v>
      </c>
      <c r="D77" s="39">
        <f>SUM(tblHome2941[[#Totals],[MAR]])</f>
        <v>2196.0300000000002</v>
      </c>
      <c r="E77" s="39">
        <f>SUM(tblHome2941[[#Totals],[APR]])</f>
        <v>859.1</v>
      </c>
      <c r="F77" s="39">
        <f>SUM(tblHome2941[[#Totals],[MAY]])</f>
        <v>1547.96</v>
      </c>
      <c r="J77" t="s">
        <v>130</v>
      </c>
      <c r="K77" s="39">
        <f>SUM(B77:B84)</f>
        <v>2011.72</v>
      </c>
      <c r="L77" s="39">
        <f>B85</f>
        <v>1043</v>
      </c>
    </row>
    <row r="78" spans="1:12" x14ac:dyDescent="0.15">
      <c r="A78" t="s">
        <v>7</v>
      </c>
      <c r="B78" s="39">
        <f>SUM(tblDaily3042[[#Totals],[JAN]])</f>
        <v>494.25</v>
      </c>
      <c r="C78" s="39">
        <f>SUM(tblDaily3042[[#Totals],[FEB]])</f>
        <v>664.87</v>
      </c>
      <c r="D78" s="39">
        <f>SUM(tblDaily3042[[#Totals],[MAR]])</f>
        <v>173.96</v>
      </c>
      <c r="E78" s="39">
        <f>SUM(tblDaily3042[[#Totals],[APR]])</f>
        <v>386.65999999999997</v>
      </c>
      <c r="F78" s="39">
        <f>SUM(tblDaily3042[[#Totals],[MAY]])</f>
        <v>195.15</v>
      </c>
      <c r="J78" t="s">
        <v>131</v>
      </c>
      <c r="K78" s="39">
        <f>SUM(C77:C84)</f>
        <v>2875.6200000000003</v>
      </c>
      <c r="L78" s="39">
        <f>C85</f>
        <v>5430.51</v>
      </c>
    </row>
    <row r="79" spans="1:12" ht="14" x14ac:dyDescent="0.15">
      <c r="A79" s="41" t="s">
        <v>8</v>
      </c>
      <c r="B79" s="39">
        <f>SUM(tblTransportation3143[[#Totals],[JAN]])</f>
        <v>4</v>
      </c>
      <c r="C79" s="39">
        <f>SUM(tblTransportation3143[[#Totals],[FEB]])</f>
        <v>64.680000000000007</v>
      </c>
      <c r="D79" s="39">
        <f>SUM(tblTransportation3143[[#Totals],[MAR]])</f>
        <v>24.75</v>
      </c>
      <c r="E79" s="39">
        <f>SUM(tblTransportation3143[[#Totals],[APR]])</f>
        <v>10.210000000000001</v>
      </c>
      <c r="F79" s="39">
        <f>SUM(tblTransportation3143[[#Totals],[MAY]])</f>
        <v>11.32</v>
      </c>
      <c r="J79" t="s">
        <v>132</v>
      </c>
      <c r="K79" s="124">
        <f>SUM(D77:D84)</f>
        <v>7490.77</v>
      </c>
      <c r="L79" s="124">
        <f>D85</f>
        <v>8866.52</v>
      </c>
    </row>
    <row r="80" spans="1:12" x14ac:dyDescent="0.15">
      <c r="A80" t="s">
        <v>9</v>
      </c>
      <c r="B80" s="39">
        <f>SUM(tblEntertainment3244[[#Totals],[JAN]])</f>
        <v>56.95</v>
      </c>
      <c r="C80" s="39">
        <f>SUM(tblEntertainment3244[[#Totals],[FEB]])</f>
        <v>428.62</v>
      </c>
      <c r="D80" s="39">
        <f>SUM(tblEntertainment3244[[#Totals],[MAR]])</f>
        <v>500</v>
      </c>
      <c r="E80" s="39">
        <f>SUM(tblEntertainment3244[[#Totals],[APR]])</f>
        <v>200</v>
      </c>
      <c r="F80" s="39">
        <f>SUM(tblEntertainment3244[[#Totals],[MAY]])</f>
        <v>0</v>
      </c>
      <c r="J80" t="s">
        <v>133</v>
      </c>
      <c r="K80" s="39">
        <f>SUM(E77:E84)</f>
        <v>7479.65</v>
      </c>
      <c r="L80" s="39">
        <f>E85</f>
        <v>4389.5200000000004</v>
      </c>
    </row>
    <row r="81" spans="1:12" x14ac:dyDescent="0.15">
      <c r="A81" t="s">
        <v>10</v>
      </c>
      <c r="B81" s="39">
        <f>SUM(tblVacations3445[[#Totals],[JAN]])</f>
        <v>421</v>
      </c>
      <c r="C81" s="39">
        <f>SUM(tblVacations3445[[#Totals],[FEB]])</f>
        <v>586</v>
      </c>
      <c r="D81" s="39">
        <f>SUM(tblVacations3445[[#Totals],[MAR]])</f>
        <v>23.369999999999997</v>
      </c>
      <c r="E81" s="39">
        <f>SUM(tblVacations3445[[#Totals],[APR]])</f>
        <v>41</v>
      </c>
      <c r="F81" s="39">
        <f>SUM(tblVacations3445[[#Totals],[MAY]])</f>
        <v>0</v>
      </c>
      <c r="J81" t="s">
        <v>134</v>
      </c>
      <c r="K81" s="39">
        <f>SUM(F77:F84)</f>
        <v>2176.27</v>
      </c>
      <c r="L81" s="39">
        <f>F85</f>
        <v>3838</v>
      </c>
    </row>
    <row r="82" spans="1:12" x14ac:dyDescent="0.15">
      <c r="A82" t="s">
        <v>11</v>
      </c>
      <c r="B82" s="39">
        <f>SUM(tblRecreation3546[[#Totals],[JAN]])</f>
        <v>0</v>
      </c>
      <c r="C82" s="39">
        <f>SUM(tblRecreation3546[[#Totals],[FEB]])</f>
        <v>271.94</v>
      </c>
      <c r="D82" s="39">
        <f>SUM(tblRecreation3546[[#Totals],[MAR]])</f>
        <v>4444.49</v>
      </c>
      <c r="E82" s="39">
        <f>SUM(tblRecreation3546[[#Totals],[APR]])</f>
        <v>5816.0599999999995</v>
      </c>
      <c r="F82" s="39">
        <f>SUM(tblRecreation3546[[#Totals],[MAY]])</f>
        <v>188.86</v>
      </c>
    </row>
    <row r="83" spans="1:12" ht="14" x14ac:dyDescent="0.15">
      <c r="A83" s="41" t="s">
        <v>12</v>
      </c>
      <c r="B83" s="39">
        <f>SUM(tblDues3647[[#Totals],[JAN]])</f>
        <v>64.53</v>
      </c>
      <c r="C83" s="39">
        <f>SUM(tblDues3647[[#Totals],[FEB]])</f>
        <v>54.510000000000005</v>
      </c>
      <c r="D83" s="39">
        <f>SUM(tblDues3647[[#Totals],[MAR]])</f>
        <v>58.17</v>
      </c>
      <c r="E83" s="39">
        <f>SUM(tblDues3647[[#Totals],[APR]])</f>
        <v>58.32</v>
      </c>
      <c r="F83" s="39">
        <f>SUM(tblDues3647[[#Totals],[MAY]])</f>
        <v>59.53</v>
      </c>
    </row>
    <row r="84" spans="1:12" x14ac:dyDescent="0.15">
      <c r="A84" t="s">
        <v>13</v>
      </c>
      <c r="B84" s="39">
        <f>SUM(tblPersonal3748[[#Totals],[JAN]])</f>
        <v>11.99</v>
      </c>
      <c r="C84" s="39">
        <f>SUM(tblPersonal3748[[#Totals],[FEB]])</f>
        <v>5</v>
      </c>
      <c r="D84" s="39">
        <f>SUM(tblPersonal3748[[#Totals],[MAR]])</f>
        <v>70</v>
      </c>
      <c r="E84" s="39">
        <f>SUM(tblPersonal3748[[#Totals],[APR]])</f>
        <v>108.30000000000001</v>
      </c>
      <c r="F84" s="39">
        <f>SUM(tblPersonal3748[[#Totals],[MAY]])</f>
        <v>173.45</v>
      </c>
    </row>
    <row r="85" spans="1:12" x14ac:dyDescent="0.15">
      <c r="A85" t="s">
        <v>14</v>
      </c>
      <c r="B85" s="39">
        <f>SUM(tblFinancial3849[[#Totals],[JAN]])</f>
        <v>1043</v>
      </c>
      <c r="C85" s="39">
        <f>SUM(tblFinancial3849[[#Totals],[FEB]])</f>
        <v>5430.51</v>
      </c>
      <c r="D85" s="39">
        <f>SUM(tblFinancial3849[[#Totals],[MAR]])</f>
        <v>8866.52</v>
      </c>
      <c r="E85" s="39">
        <f>SUM(tblFinancial3849[[#Totals],[APR]])</f>
        <v>4389.5200000000004</v>
      </c>
      <c r="F85" s="39">
        <f>SUM(tblFinancial3849[[#Totals],[MAY]])</f>
        <v>3838</v>
      </c>
    </row>
  </sheetData>
  <phoneticPr fontId="57" type="noConversion"/>
  <pageMargins left="0.7" right="0.7" top="0.75" bottom="0.75" header="0.3" footer="0.3"/>
  <ignoredErrors>
    <ignoredError sqref="B78:B85" calculatedColumn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8021-31D8-49BB-ADFA-7B663B710DE3}">
  <sheetPr codeName="Sheet2">
    <tabColor theme="4"/>
    <pageSetUpPr autoPageBreaks="0" fitToPage="1"/>
  </sheetPr>
  <dimension ref="A1:Q100"/>
  <sheetViews>
    <sheetView showGridLines="0" topLeftCell="A5" zoomScaleNormal="100" workbookViewId="0">
      <pane xSplit="1" topLeftCell="I1" activePane="topRight" state="frozen"/>
      <selection pane="topRight" activeCell="L20" sqref="L20"/>
    </sheetView>
  </sheetViews>
  <sheetFormatPr baseColWidth="10" defaultColWidth="8.83203125" defaultRowHeight="22" customHeight="1" x14ac:dyDescent="0.15"/>
  <cols>
    <col min="1" max="1" width="34.83203125" style="10" customWidth="1"/>
    <col min="2" max="7" width="15.83203125" style="11" hidden="1" customWidth="1"/>
    <col min="8" max="8" width="51.1640625" style="11" hidden="1" customWidth="1"/>
    <col min="9" max="14" width="15.83203125" style="11" customWidth="1"/>
    <col min="15" max="15" width="25.1640625" style="10" customWidth="1"/>
    <col min="16" max="16" width="12.83203125" style="10" customWidth="1"/>
    <col min="17" max="17" width="23.83203125" style="18" customWidth="1"/>
    <col min="18" max="16384" width="8.83203125" style="18"/>
  </cols>
  <sheetData>
    <row r="1" spans="1:16" ht="20" customHeight="1" x14ac:dyDescent="0.15">
      <c r="P1" s="10" t="s">
        <v>15</v>
      </c>
    </row>
    <row r="2" spans="1:16" ht="20" customHeight="1" x14ac:dyDescent="0.15"/>
    <row r="3" spans="1:16" ht="20" customHeight="1" x14ac:dyDescent="0.15">
      <c r="B3" s="40">
        <f>SUM(tblHome29[AUG])</f>
        <v>494.95000000000005</v>
      </c>
    </row>
    <row r="4" spans="1:16" ht="20" customHeight="1" x14ac:dyDescent="0.15"/>
    <row r="5" spans="1:16" ht="20" customHeight="1" x14ac:dyDescent="0.15"/>
    <row r="7" spans="1:16" s="20" customFormat="1" ht="30" customHeight="1" x14ac:dyDescent="0.15">
      <c r="A7" s="24" t="s">
        <v>16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15"/>
    </row>
    <row r="8" spans="1:16" s="5" customFormat="1" ht="30" customHeight="1" x14ac:dyDescent="0.15">
      <c r="A8" s="16" t="s">
        <v>17</v>
      </c>
      <c r="B8" s="29" t="s">
        <v>18</v>
      </c>
      <c r="C8" s="29" t="s">
        <v>19</v>
      </c>
      <c r="D8" s="29" t="s">
        <v>20</v>
      </c>
      <c r="E8" s="29" t="s">
        <v>21</v>
      </c>
      <c r="F8" s="29" t="s">
        <v>22</v>
      </c>
      <c r="G8" s="29" t="s">
        <v>23</v>
      </c>
      <c r="H8" s="29" t="s">
        <v>24</v>
      </c>
      <c r="I8" s="29" t="s">
        <v>25</v>
      </c>
      <c r="J8" s="29" t="s">
        <v>26</v>
      </c>
      <c r="K8" s="29" t="s">
        <v>3</v>
      </c>
      <c r="L8" s="29" t="s">
        <v>27</v>
      </c>
      <c r="M8" s="29" t="s">
        <v>28</v>
      </c>
      <c r="N8" s="29" t="s">
        <v>29</v>
      </c>
      <c r="O8" s="29" t="s">
        <v>30</v>
      </c>
    </row>
    <row r="9" spans="1:16" s="5" customFormat="1" ht="22.25" customHeight="1" x14ac:dyDescent="0.15">
      <c r="A9" s="12" t="s">
        <v>31</v>
      </c>
      <c r="B9" s="13"/>
      <c r="C9" s="13"/>
      <c r="D9" s="13"/>
      <c r="E9" s="13"/>
      <c r="F9" s="13"/>
      <c r="G9" s="13"/>
      <c r="H9" s="13"/>
      <c r="I9" s="13">
        <v>2209.39</v>
      </c>
      <c r="J9" s="13">
        <v>2790.32</v>
      </c>
      <c r="K9" s="13">
        <v>2793.8</v>
      </c>
      <c r="L9" s="13">
        <f t="shared" ref="L9" si="0">1293.8+1500</f>
        <v>2793.8</v>
      </c>
      <c r="M9" s="13"/>
      <c r="N9" s="13">
        <f>SUM(tblIncome28[[#This Row],[JAN]:[DEC]])</f>
        <v>10587.310000000001</v>
      </c>
      <c r="O9" s="36">
        <v>45968</v>
      </c>
    </row>
    <row r="10" spans="1:16" s="5" customFormat="1" ht="22.25" customHeight="1" x14ac:dyDescent="0.15">
      <c r="A10" s="30" t="s">
        <v>32</v>
      </c>
      <c r="B10" s="13"/>
      <c r="C10" s="13"/>
      <c r="D10" s="13"/>
      <c r="E10" s="13"/>
      <c r="F10" s="13"/>
      <c r="G10" s="13"/>
      <c r="H10" s="13"/>
      <c r="I10" s="13">
        <v>180.25</v>
      </c>
      <c r="J10" s="13">
        <v>2793</v>
      </c>
      <c r="K10" s="13">
        <v>2793.8</v>
      </c>
      <c r="L10" s="13">
        <v>1500</v>
      </c>
      <c r="M10" s="13"/>
      <c r="N10" s="13">
        <f>SUM(tblIncome28[[#This Row],[JAN]:[DEC]])</f>
        <v>7267.05</v>
      </c>
      <c r="O10" s="3"/>
    </row>
    <row r="11" spans="1:16" s="5" customFormat="1" ht="22.25" customHeight="1" x14ac:dyDescent="0.15">
      <c r="A11" s="30" t="s">
        <v>33</v>
      </c>
      <c r="B11" s="13"/>
      <c r="C11" s="13"/>
      <c r="D11" s="13"/>
      <c r="E11" s="13"/>
      <c r="F11" s="13"/>
      <c r="G11" s="13"/>
      <c r="H11" s="13"/>
      <c r="I11" s="13">
        <v>2530.16</v>
      </c>
      <c r="J11" s="13"/>
      <c r="K11" s="13"/>
      <c r="L11" s="13"/>
      <c r="M11" s="13"/>
      <c r="N11" s="13">
        <f>SUM(tblIncome28[[#This Row],[JAN]:[DEC]])</f>
        <v>2530.16</v>
      </c>
      <c r="O11" s="3"/>
    </row>
    <row r="12" spans="1:16" s="5" customFormat="1" ht="22.25" customHeight="1" x14ac:dyDescent="0.15">
      <c r="A12" s="30" t="s">
        <v>34</v>
      </c>
      <c r="B12" s="13"/>
      <c r="C12" s="13"/>
      <c r="D12" s="13"/>
      <c r="E12" s="13"/>
      <c r="F12" s="13"/>
      <c r="G12" s="13"/>
      <c r="H12" s="13"/>
      <c r="I12" s="13">
        <v>3192.17</v>
      </c>
      <c r="J12" s="13"/>
      <c r="K12" s="13"/>
      <c r="L12" s="13"/>
      <c r="M12" s="13"/>
      <c r="N12" s="13">
        <f>SUM(tblIncome28[[#This Row],[JAN]:[DEC]])</f>
        <v>3192.17</v>
      </c>
      <c r="O12" s="3"/>
    </row>
    <row r="13" spans="1:16" s="5" customFormat="1" ht="22.25" customHeight="1" x14ac:dyDescent="0.15">
      <c r="A13" s="12" t="s">
        <v>35</v>
      </c>
      <c r="B13" s="13">
        <f>SUBTOTAL(109,tblIncome28[JAN])</f>
        <v>0</v>
      </c>
      <c r="C13" s="13">
        <f>SUBTOTAL(109,tblIncome28[FEB])</f>
        <v>0</v>
      </c>
      <c r="D13" s="13">
        <f>SUBTOTAL(109,tblIncome28[MAR])</f>
        <v>0</v>
      </c>
      <c r="E13" s="13">
        <f>SUBTOTAL(109,tblIncome28[APR])</f>
        <v>0</v>
      </c>
      <c r="F13" s="13">
        <f>SUBTOTAL(109,tblIncome28[MAY])</f>
        <v>0</v>
      </c>
      <c r="G13" s="13">
        <f>SUBTOTAL(109,tblIncome28[JUN])</f>
        <v>0</v>
      </c>
      <c r="H13" s="13">
        <f>SUBTOTAL(109,tblIncome28[JUL])</f>
        <v>0</v>
      </c>
      <c r="I13" s="13">
        <f>SUBTOTAL(109,tblIncome28[AUG])</f>
        <v>8111.9699999999993</v>
      </c>
      <c r="J13" s="13">
        <f>SUBTOTAL(109,tblIncome28[SEP])</f>
        <v>5583.32</v>
      </c>
      <c r="K13" s="13">
        <f>SUBTOTAL(109,tblIncome28[OCT])</f>
        <v>5587.6</v>
      </c>
      <c r="L13" s="13">
        <f>SUBTOTAL(109,tblIncome28[NOV])</f>
        <v>4293.8</v>
      </c>
      <c r="M13" s="13">
        <f>SUBTOTAL(109,tblIncome28[DEC])</f>
        <v>0</v>
      </c>
      <c r="N13" s="13">
        <f>SUBTOTAL(109,tblIncome28[YEAR])</f>
        <v>23576.690000000002</v>
      </c>
      <c r="O13" s="31"/>
    </row>
    <row r="14" spans="1:16" ht="22" customHeight="1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6" s="28" customFormat="1" ht="30" customHeight="1" x14ac:dyDescent="0.15">
      <c r="A15" s="24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7"/>
    </row>
    <row r="16" spans="1:16" s="5" customFormat="1" ht="30" customHeight="1" x14ac:dyDescent="0.15">
      <c r="A16" s="16" t="s">
        <v>37</v>
      </c>
      <c r="B16" s="29" t="s">
        <v>18</v>
      </c>
      <c r="C16" s="29" t="s">
        <v>19</v>
      </c>
      <c r="D16" s="29" t="s">
        <v>20</v>
      </c>
      <c r="E16" s="29" t="s">
        <v>21</v>
      </c>
      <c r="F16" s="29" t="s">
        <v>22</v>
      </c>
      <c r="G16" s="29" t="s">
        <v>23</v>
      </c>
      <c r="H16" s="29" t="s">
        <v>24</v>
      </c>
      <c r="I16" s="29" t="s">
        <v>25</v>
      </c>
      <c r="J16" s="29" t="s">
        <v>26</v>
      </c>
      <c r="K16" s="29" t="s">
        <v>3</v>
      </c>
      <c r="L16" s="29" t="s">
        <v>27</v>
      </c>
      <c r="M16" s="29" t="s">
        <v>28</v>
      </c>
      <c r="N16" s="29" t="s">
        <v>29</v>
      </c>
      <c r="O16" s="29" t="s">
        <v>30</v>
      </c>
    </row>
    <row r="17" spans="1:16" s="5" customFormat="1" ht="22.25" customHeight="1" x14ac:dyDescent="0.15">
      <c r="A17" s="12" t="s">
        <v>38</v>
      </c>
      <c r="B17" s="13"/>
      <c r="C17" s="13"/>
      <c r="D17" s="13"/>
      <c r="E17" s="13"/>
      <c r="F17" s="13"/>
      <c r="G17" s="13"/>
      <c r="H17" s="13"/>
      <c r="I17" s="13">
        <v>450</v>
      </c>
      <c r="J17" s="13">
        <v>585</v>
      </c>
      <c r="K17" s="13">
        <v>550</v>
      </c>
      <c r="L17" s="13">
        <v>550</v>
      </c>
      <c r="M17" s="13"/>
      <c r="N17" s="13">
        <f>SUM(tblHome29[[#This Row],[JAN]:[DEC]])</f>
        <v>2135</v>
      </c>
      <c r="O17" s="37">
        <v>45971</v>
      </c>
    </row>
    <row r="18" spans="1:16" s="5" customFormat="1" ht="22.25" customHeight="1" x14ac:dyDescent="0.15">
      <c r="A18" s="12" t="s">
        <v>39</v>
      </c>
      <c r="B18" s="13"/>
      <c r="C18" s="13"/>
      <c r="D18" s="13"/>
      <c r="E18" s="13"/>
      <c r="F18" s="13"/>
      <c r="G18" s="13"/>
      <c r="H18" s="13"/>
      <c r="I18" s="13">
        <v>2.29</v>
      </c>
      <c r="J18" s="13"/>
      <c r="K18" s="13"/>
      <c r="L18" s="13"/>
      <c r="M18" s="13"/>
      <c r="N18" s="13">
        <f>SUM(tblHome29[[#This Row],[JAN]:[DEC]])</f>
        <v>2.29</v>
      </c>
      <c r="O18" s="30"/>
    </row>
    <row r="19" spans="1:16" s="5" customFormat="1" ht="22.25" customHeight="1" x14ac:dyDescent="0.15">
      <c r="A19" s="12" t="s">
        <v>40</v>
      </c>
      <c r="B19" s="13"/>
      <c r="C19" s="13"/>
      <c r="D19" s="13"/>
      <c r="E19" s="13"/>
      <c r="F19" s="13"/>
      <c r="G19" s="13"/>
      <c r="H19" s="13"/>
      <c r="I19" s="13"/>
      <c r="J19" s="13">
        <v>550</v>
      </c>
      <c r="K19" s="13"/>
      <c r="L19" s="13"/>
      <c r="M19" s="13"/>
      <c r="N19" s="13">
        <f>SUM(tblHome29[[#This Row],[JAN]:[DEC]])</f>
        <v>550</v>
      </c>
      <c r="O19" s="30"/>
    </row>
    <row r="20" spans="1:16" s="5" customFormat="1" ht="22.25" customHeight="1" x14ac:dyDescent="0.15">
      <c r="A20" s="12" t="s">
        <v>41</v>
      </c>
      <c r="B20" s="13"/>
      <c r="C20" s="13"/>
      <c r="D20" s="13"/>
      <c r="E20" s="13"/>
      <c r="F20" s="13"/>
      <c r="G20" s="13"/>
      <c r="H20" s="13"/>
      <c r="I20" s="13">
        <v>42.66</v>
      </c>
      <c r="J20" s="13"/>
      <c r="K20" s="13">
        <v>29</v>
      </c>
      <c r="L20" s="13">
        <v>56.67</v>
      </c>
      <c r="M20" s="13"/>
      <c r="N20" s="13">
        <f>SUM(tblHome29[[#This Row],[JAN]:[DEC]])</f>
        <v>128.32999999999998</v>
      </c>
      <c r="O20" s="3"/>
    </row>
    <row r="21" spans="1:16" ht="22.25" customHeight="1" x14ac:dyDescent="0.15">
      <c r="A21" s="12" t="s">
        <v>35</v>
      </c>
      <c r="B21" s="13">
        <f>SUBTOTAL(109,tblHome29[JAN])</f>
        <v>0</v>
      </c>
      <c r="C21" s="13">
        <f>SUBTOTAL(109,tblHome29[FEB])</f>
        <v>0</v>
      </c>
      <c r="D21" s="13">
        <f>SUBTOTAL(109,tblHome29[MAR])</f>
        <v>0</v>
      </c>
      <c r="E21" s="13">
        <f>SUBTOTAL(109,tblHome29[APR])</f>
        <v>0</v>
      </c>
      <c r="F21" s="13">
        <f>SUBTOTAL(109,tblHome29[MAY])</f>
        <v>0</v>
      </c>
      <c r="G21" s="13">
        <f>SUBTOTAL(109,tblHome29[JUN])</f>
        <v>0</v>
      </c>
      <c r="H21" s="13">
        <f>SUBTOTAL(109,tblHome29[JUL])</f>
        <v>0</v>
      </c>
      <c r="I21" s="13">
        <f>SUBTOTAL(109,tblHome29[AUG])</f>
        <v>494.95000000000005</v>
      </c>
      <c r="J21" s="13">
        <f>SUBTOTAL(109,tblHome29[SEP])</f>
        <v>1135</v>
      </c>
      <c r="K21" s="13">
        <f>SUBTOTAL(109,tblHome29[OCT])</f>
        <v>579</v>
      </c>
      <c r="L21" s="13">
        <f>SUBTOTAL(109,tblHome29[NOV])</f>
        <v>606.66999999999996</v>
      </c>
      <c r="M21" s="13">
        <f>SUBTOTAL(109,tblHome29[DEC])</f>
        <v>0</v>
      </c>
      <c r="N21" s="13">
        <f>SUBTOTAL(109,tblHome29[YEAR])</f>
        <v>2815.62</v>
      </c>
      <c r="O21" s="31"/>
      <c r="P21" s="18"/>
    </row>
    <row r="22" spans="1:16" s="19" customFormat="1" ht="22" customHeight="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0"/>
      <c r="P22" s="17"/>
    </row>
    <row r="23" spans="1:16" s="5" customFormat="1" ht="30" customHeight="1" x14ac:dyDescent="0.15">
      <c r="A23" s="16" t="s">
        <v>42</v>
      </c>
      <c r="B23" s="29" t="s">
        <v>18</v>
      </c>
      <c r="C23" s="29" t="s">
        <v>19</v>
      </c>
      <c r="D23" s="29" t="s">
        <v>20</v>
      </c>
      <c r="E23" s="29" t="s">
        <v>21</v>
      </c>
      <c r="F23" s="29" t="s">
        <v>22</v>
      </c>
      <c r="G23" s="29" t="s">
        <v>23</v>
      </c>
      <c r="H23" s="29" t="s">
        <v>24</v>
      </c>
      <c r="I23" s="29" t="s">
        <v>25</v>
      </c>
      <c r="J23" s="29" t="s">
        <v>26</v>
      </c>
      <c r="K23" s="29" t="s">
        <v>3</v>
      </c>
      <c r="L23" s="29" t="s">
        <v>27</v>
      </c>
      <c r="M23" s="29" t="s">
        <v>28</v>
      </c>
      <c r="N23" s="29" t="s">
        <v>29</v>
      </c>
      <c r="O23" s="32" t="s">
        <v>30</v>
      </c>
    </row>
    <row r="24" spans="1:16" s="5" customFormat="1" ht="30" customHeight="1" x14ac:dyDescent="0.15">
      <c r="A24" s="12" t="s">
        <v>43</v>
      </c>
      <c r="B24" s="31"/>
      <c r="C24" s="31"/>
      <c r="D24" s="31"/>
      <c r="E24" s="31"/>
      <c r="F24" s="31"/>
      <c r="G24" s="31"/>
      <c r="H24" s="31"/>
      <c r="I24" s="31"/>
      <c r="J24" s="31"/>
      <c r="K24" s="31">
        <v>8.24</v>
      </c>
      <c r="L24" s="31"/>
      <c r="M24" s="31"/>
      <c r="N24" s="31">
        <f>SUM(tblDaily30[[#This Row],[JAN]:[DEC]])</f>
        <v>8.24</v>
      </c>
      <c r="O24" s="36">
        <v>45971</v>
      </c>
    </row>
    <row r="25" spans="1:16" s="5" customFormat="1" ht="22.25" customHeight="1" x14ac:dyDescent="0.15">
      <c r="A25" s="12" t="s">
        <v>44</v>
      </c>
      <c r="B25" s="13"/>
      <c r="C25" s="13"/>
      <c r="D25" s="13"/>
      <c r="E25" s="13"/>
      <c r="F25" s="13"/>
      <c r="G25" s="13"/>
      <c r="H25" s="13"/>
      <c r="I25" s="13">
        <v>26</v>
      </c>
      <c r="J25" s="13">
        <v>73.34</v>
      </c>
      <c r="K25" s="13">
        <f>72.87 + 1.33 + 4.54</f>
        <v>78.740000000000009</v>
      </c>
      <c r="L25" s="13">
        <f>8.37 + 6.12 + 9.76</f>
        <v>24.25</v>
      </c>
      <c r="M25" s="13"/>
      <c r="N25" s="13">
        <f>SUM(tblDaily30[[#This Row],[JAN]:[DEC]])</f>
        <v>202.33</v>
      </c>
      <c r="O25" s="3"/>
    </row>
    <row r="26" spans="1:16" s="5" customFormat="1" ht="22.25" customHeight="1" x14ac:dyDescent="0.15">
      <c r="A26" s="12" t="s">
        <v>45</v>
      </c>
      <c r="B26" s="13"/>
      <c r="C26" s="13"/>
      <c r="D26" s="13"/>
      <c r="E26" s="13"/>
      <c r="F26" s="13"/>
      <c r="G26" s="13"/>
      <c r="H26" s="13"/>
      <c r="I26" s="13">
        <f>15.49 + 21.59</f>
        <v>37.08</v>
      </c>
      <c r="J26" s="13">
        <v>53</v>
      </c>
      <c r="K26" s="13">
        <v>46.28</v>
      </c>
      <c r="L26" s="13">
        <v>6.95</v>
      </c>
      <c r="M26" s="13"/>
      <c r="N26" s="13">
        <f>SUM(tblDaily30[[#This Row],[JAN]:[DEC]])</f>
        <v>143.31</v>
      </c>
      <c r="O26" s="3"/>
    </row>
    <row r="27" spans="1:16" s="5" customFormat="1" ht="22.25" customHeight="1" x14ac:dyDescent="0.15">
      <c r="A27" s="12" t="s">
        <v>46</v>
      </c>
      <c r="B27" s="13"/>
      <c r="C27" s="13"/>
      <c r="D27" s="13"/>
      <c r="E27" s="13"/>
      <c r="F27" s="13"/>
      <c r="G27" s="13"/>
      <c r="H27" s="13"/>
      <c r="I27" s="13">
        <v>130.61000000000001</v>
      </c>
      <c r="J27" s="13">
        <v>2.2599999999999998</v>
      </c>
      <c r="K27" s="13"/>
      <c r="L27" s="13"/>
      <c r="M27" s="13"/>
      <c r="N27" s="13">
        <f>SUM(tblDaily30[[#This Row],[JAN]:[DEC]])</f>
        <v>132.87</v>
      </c>
      <c r="O27" s="3"/>
    </row>
    <row r="28" spans="1:16" s="19" customFormat="1" ht="22.25" customHeight="1" x14ac:dyDescent="0.15">
      <c r="A28" s="12" t="s">
        <v>35</v>
      </c>
      <c r="B28" s="13">
        <f>SUBTOTAL(109,tblDaily30[JAN])</f>
        <v>0</v>
      </c>
      <c r="C28" s="13">
        <f>SUBTOTAL(109,tblDaily30[FEB])</f>
        <v>0</v>
      </c>
      <c r="D28" s="13">
        <f>SUBTOTAL(109,tblDaily30[MAR])</f>
        <v>0</v>
      </c>
      <c r="E28" s="13">
        <f>SUBTOTAL(109,tblDaily30[APR])</f>
        <v>0</v>
      </c>
      <c r="F28" s="13">
        <f>SUBTOTAL(109,tblDaily30[MAY])</f>
        <v>0</v>
      </c>
      <c r="G28" s="13">
        <f>SUBTOTAL(109,tblDaily30[JUN])</f>
        <v>0</v>
      </c>
      <c r="H28" s="13">
        <f>SUBTOTAL(109,tblDaily30[JUL])</f>
        <v>0</v>
      </c>
      <c r="I28" s="13">
        <f>SUBTOTAL(109,tblDaily30[AUG])</f>
        <v>193.69</v>
      </c>
      <c r="J28" s="13">
        <f>SUBTOTAL(109,tblDaily30[SEP])</f>
        <v>128.6</v>
      </c>
      <c r="K28" s="13">
        <f>SUBTOTAL(109,tblDaily30[OCT])</f>
        <v>133.26</v>
      </c>
      <c r="L28" s="13">
        <f>SUBTOTAL(109,tblDaily30[NOV])</f>
        <v>31.2</v>
      </c>
      <c r="M28" s="13">
        <f>SUBTOTAL(109,tblDaily30[DEC])</f>
        <v>0</v>
      </c>
      <c r="N28" s="13">
        <f>SUBTOTAL(109,tblDaily30[YEAR])</f>
        <v>486.75</v>
      </c>
      <c r="O28" s="31"/>
    </row>
    <row r="29" spans="1:16" s="5" customFormat="1" ht="22" customHeight="1" x14ac:dyDescent="0.1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</row>
    <row r="30" spans="1:16" s="5" customFormat="1" ht="30" customHeight="1" x14ac:dyDescent="0.15">
      <c r="A30" s="16" t="s">
        <v>47</v>
      </c>
      <c r="B30" s="29" t="s">
        <v>18</v>
      </c>
      <c r="C30" s="29" t="s">
        <v>19</v>
      </c>
      <c r="D30" s="29" t="s">
        <v>20</v>
      </c>
      <c r="E30" s="29" t="s">
        <v>21</v>
      </c>
      <c r="F30" s="29" t="s">
        <v>22</v>
      </c>
      <c r="G30" s="29" t="s">
        <v>23</v>
      </c>
      <c r="H30" s="29" t="s">
        <v>24</v>
      </c>
      <c r="I30" s="29" t="s">
        <v>25</v>
      </c>
      <c r="J30" s="29" t="s">
        <v>26</v>
      </c>
      <c r="K30" s="29" t="s">
        <v>3</v>
      </c>
      <c r="L30" s="29" t="s">
        <v>27</v>
      </c>
      <c r="M30" s="29" t="s">
        <v>28</v>
      </c>
      <c r="N30" s="29" t="s">
        <v>29</v>
      </c>
      <c r="O30" s="32" t="s">
        <v>30</v>
      </c>
    </row>
    <row r="31" spans="1:16" s="5" customFormat="1" ht="22.25" customHeight="1" x14ac:dyDescent="0.15">
      <c r="A31" s="12" t="s">
        <v>48</v>
      </c>
      <c r="B31" s="13"/>
      <c r="C31" s="13"/>
      <c r="D31" s="13"/>
      <c r="E31" s="13"/>
      <c r="F31" s="13"/>
      <c r="G31" s="13"/>
      <c r="H31" s="13"/>
      <c r="I31" s="13">
        <v>101.25</v>
      </c>
      <c r="J31" s="13">
        <v>265.8</v>
      </c>
      <c r="K31" s="13"/>
      <c r="L31" s="13"/>
      <c r="M31" s="13"/>
      <c r="N31" s="13">
        <f>SUM(tblTransportation31[[#This Row],[AUG]:[DEC]])</f>
        <v>367.05</v>
      </c>
      <c r="O31" s="36">
        <v>45971</v>
      </c>
    </row>
    <row r="32" spans="1:16" s="5" customFormat="1" ht="22.25" customHeight="1" x14ac:dyDescent="0.15">
      <c r="A32" s="12" t="s">
        <v>49</v>
      </c>
      <c r="C32" s="13"/>
      <c r="D32" s="13"/>
      <c r="E32" s="13"/>
      <c r="F32" s="13"/>
      <c r="G32" s="13"/>
      <c r="H32" s="13">
        <v>15</v>
      </c>
      <c r="I32" s="13">
        <v>15</v>
      </c>
      <c r="J32" s="13"/>
      <c r="K32" s="13"/>
      <c r="L32" s="13"/>
      <c r="M32" s="13"/>
      <c r="N32" s="13">
        <f>SUM(tblTransportation31[[#This Row],[AUG]:[DEC]])</f>
        <v>15</v>
      </c>
      <c r="O32" s="3"/>
    </row>
    <row r="33" spans="1:16" s="5" customFormat="1" ht="22.25" customHeight="1" x14ac:dyDescent="0.15">
      <c r="A33" s="12" t="s">
        <v>50</v>
      </c>
      <c r="B33" s="13"/>
      <c r="C33" s="13"/>
      <c r="D33" s="13"/>
      <c r="E33" s="13"/>
      <c r="F33" s="13"/>
      <c r="G33" s="13"/>
      <c r="H33" s="13"/>
      <c r="I33" s="13"/>
      <c r="J33" s="13">
        <v>16.149999999999999</v>
      </c>
      <c r="K33" s="13"/>
      <c r="L33" s="13">
        <v>32</v>
      </c>
      <c r="M33" s="13"/>
      <c r="N33" s="13">
        <f>SUM(tblTransportation31[[#This Row],[AUG]:[DEC]])</f>
        <v>48.15</v>
      </c>
      <c r="O33" s="3"/>
    </row>
    <row r="34" spans="1:16" s="19" customFormat="1" ht="22.25" customHeight="1" x14ac:dyDescent="0.15">
      <c r="A34" s="12" t="s">
        <v>35</v>
      </c>
      <c r="B34" s="13">
        <f>SUBTOTAL(109,tblTransportation31[JAN])</f>
        <v>0</v>
      </c>
      <c r="C34" s="13">
        <f>SUBTOTAL(109,tblTransportation31[FEB])</f>
        <v>0</v>
      </c>
      <c r="D34" s="13">
        <f>SUBTOTAL(109,tblTransportation31[MAR])</f>
        <v>0</v>
      </c>
      <c r="E34" s="13">
        <f>SUBTOTAL(109,tblTransportation31[APR])</f>
        <v>0</v>
      </c>
      <c r="F34" s="13">
        <f>SUBTOTAL(109,tblTransportation31[MAY])</f>
        <v>0</v>
      </c>
      <c r="G34" s="13">
        <f>SUBTOTAL(109,tblTransportation31[JUN])</f>
        <v>0</v>
      </c>
      <c r="H34" s="13">
        <f>SUBTOTAL(109,tblTransportation31[JUL])</f>
        <v>15</v>
      </c>
      <c r="I34" s="13">
        <f>SUBTOTAL(109,tblTransportation31[AUG])</f>
        <v>116.25</v>
      </c>
      <c r="J34" s="13">
        <f>SUBTOTAL(109,tblTransportation31[SEP])</f>
        <v>281.95</v>
      </c>
      <c r="K34" s="13">
        <f>SUBTOTAL(109,tblTransportation31[OCT])</f>
        <v>0</v>
      </c>
      <c r="L34" s="13">
        <f>SUBTOTAL(109,tblTransportation31[NOV])</f>
        <v>32</v>
      </c>
      <c r="M34" s="13">
        <f>SUBTOTAL(109,tblTransportation31[DEC])</f>
        <v>0</v>
      </c>
      <c r="N34" s="13">
        <f>SUBTOTAL(109,tblTransportation31[YEAR])</f>
        <v>430.2</v>
      </c>
      <c r="O34" s="31"/>
    </row>
    <row r="35" spans="1:16" s="5" customFormat="1" ht="22" customHeight="1" x14ac:dyDescent="0.1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"/>
      <c r="P35" s="3"/>
    </row>
    <row r="36" spans="1:16" s="5" customFormat="1" ht="30" customHeight="1" x14ac:dyDescent="0.15">
      <c r="A36" s="16" t="s">
        <v>9</v>
      </c>
      <c r="B36" s="29" t="s">
        <v>18</v>
      </c>
      <c r="C36" s="29" t="s">
        <v>19</v>
      </c>
      <c r="D36" s="29" t="s">
        <v>20</v>
      </c>
      <c r="E36" s="29" t="s">
        <v>21</v>
      </c>
      <c r="F36" s="29" t="s">
        <v>22</v>
      </c>
      <c r="G36" s="29" t="s">
        <v>23</v>
      </c>
      <c r="H36" s="29" t="s">
        <v>24</v>
      </c>
      <c r="I36" s="29" t="s">
        <v>25</v>
      </c>
      <c r="J36" s="29" t="s">
        <v>26</v>
      </c>
      <c r="K36" s="29" t="s">
        <v>3</v>
      </c>
      <c r="L36" s="29" t="s">
        <v>27</v>
      </c>
      <c r="M36" s="29" t="s">
        <v>28</v>
      </c>
      <c r="N36" s="29" t="s">
        <v>29</v>
      </c>
      <c r="O36" s="32" t="s">
        <v>30</v>
      </c>
      <c r="P36" s="32" t="s">
        <v>51</v>
      </c>
    </row>
    <row r="37" spans="1:16" s="5" customFormat="1" ht="22.25" customHeight="1" x14ac:dyDescent="0.15">
      <c r="A37" s="12" t="s">
        <v>52</v>
      </c>
      <c r="B37" s="13"/>
      <c r="C37" s="13"/>
      <c r="D37" s="13"/>
      <c r="E37" s="13"/>
      <c r="F37" s="13"/>
      <c r="G37" s="13"/>
      <c r="H37" s="13"/>
      <c r="I37" s="13"/>
      <c r="J37" s="13">
        <v>40</v>
      </c>
      <c r="K37" s="13">
        <v>41</v>
      </c>
      <c r="L37" s="13">
        <v>44</v>
      </c>
      <c r="M37" s="13"/>
      <c r="N37" s="13">
        <f>SUM(tblEntertainment32[[#This Row],[JAN]:[DEC]])</f>
        <v>125</v>
      </c>
      <c r="O37" s="36">
        <v>45971</v>
      </c>
      <c r="P37" s="5">
        <v>4914.16</v>
      </c>
    </row>
    <row r="38" spans="1:16" s="5" customFormat="1" ht="22.25" customHeight="1" x14ac:dyDescent="0.15">
      <c r="A38" s="12" t="s">
        <v>53</v>
      </c>
      <c r="B38" s="13"/>
      <c r="C38" s="13"/>
      <c r="D38" s="13"/>
      <c r="E38" s="13"/>
      <c r="F38" s="13"/>
      <c r="G38" s="13"/>
      <c r="H38" s="13"/>
      <c r="I38" s="13">
        <v>95.25</v>
      </c>
      <c r="J38" s="13">
        <v>400</v>
      </c>
      <c r="K38" s="13">
        <v>1700</v>
      </c>
      <c r="L38" s="13">
        <f>200 + 400 + 300</f>
        <v>900</v>
      </c>
      <c r="M38" s="13"/>
      <c r="N38" s="13">
        <f>SUM(tblEntertainment32[[#This Row],[JAN]:[DEC]])</f>
        <v>3095.25</v>
      </c>
      <c r="O38" s="3" t="s">
        <v>54</v>
      </c>
      <c r="P38" s="5">
        <v>2103</v>
      </c>
    </row>
    <row r="39" spans="1:16" s="5" customFormat="1" ht="22.25" customHeight="1" x14ac:dyDescent="0.15">
      <c r="A39" s="12" t="s">
        <v>55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>
        <f>SUM(tblEntertainment32[[#This Row],[JAN]:[DEC]])</f>
        <v>0</v>
      </c>
      <c r="O39" s="3"/>
      <c r="P39" s="5">
        <v>0</v>
      </c>
    </row>
    <row r="40" spans="1:16" s="5" customFormat="1" ht="22.25" customHeight="1" x14ac:dyDescent="0.15">
      <c r="A40" s="12" t="s">
        <v>56</v>
      </c>
      <c r="B40" s="13"/>
      <c r="C40" s="13"/>
      <c r="D40" s="13"/>
      <c r="E40" s="13"/>
      <c r="F40" s="13"/>
      <c r="G40" s="13"/>
      <c r="H40" s="13"/>
      <c r="I40" s="13">
        <v>0</v>
      </c>
      <c r="J40" s="13">
        <v>124</v>
      </c>
      <c r="K40" s="13"/>
      <c r="L40" s="13"/>
      <c r="M40" s="13"/>
      <c r="N40" s="13">
        <f>SUM(tblEntertainment32[[#This Row],[JAN]:[DEC]])</f>
        <v>124</v>
      </c>
      <c r="O40" s="3"/>
      <c r="P40" s="5">
        <v>1418</v>
      </c>
    </row>
    <row r="41" spans="1:16" s="5" customFormat="1" ht="22.25" customHeight="1" x14ac:dyDescent="0.15">
      <c r="A41" s="12" t="s">
        <v>57</v>
      </c>
      <c r="B41" s="13"/>
      <c r="C41" s="13"/>
      <c r="D41" s="13"/>
      <c r="E41" s="13"/>
      <c r="F41" s="13"/>
      <c r="G41" s="13"/>
      <c r="H41" s="13"/>
      <c r="I41" s="13">
        <v>0</v>
      </c>
      <c r="J41" s="13"/>
      <c r="K41" s="13"/>
      <c r="L41" s="13"/>
      <c r="M41" s="13"/>
      <c r="N41" s="13">
        <f>SUM(tblEntertainment32[[#This Row],[JAN]:[DEC]])</f>
        <v>0</v>
      </c>
      <c r="O41" s="3"/>
      <c r="P41" s="5">
        <v>0</v>
      </c>
    </row>
    <row r="42" spans="1:16" ht="22.25" customHeight="1" x14ac:dyDescent="0.15">
      <c r="A42" s="12" t="s">
        <v>58</v>
      </c>
      <c r="B42" s="13"/>
      <c r="C42" s="13"/>
      <c r="D42" s="13"/>
      <c r="E42" s="13"/>
      <c r="F42" s="13"/>
      <c r="G42" s="13"/>
      <c r="H42" s="13"/>
      <c r="I42" s="13">
        <v>0</v>
      </c>
      <c r="J42" s="13"/>
      <c r="K42" s="13"/>
      <c r="L42" s="13"/>
      <c r="M42" s="13"/>
      <c r="N42" s="13">
        <f>SUM(tblEntertainment32[[#This Row],[JAN]:[DEC]])</f>
        <v>0</v>
      </c>
      <c r="O42" s="3"/>
      <c r="P42" s="5"/>
    </row>
    <row r="43" spans="1:16" s="19" customFormat="1" ht="22.25" customHeight="1" x14ac:dyDescent="0.15">
      <c r="A43" s="12" t="s">
        <v>35</v>
      </c>
      <c r="B43" s="13">
        <f>SUBTOTAL(109,tblEntertainment32[JAN])</f>
        <v>0</v>
      </c>
      <c r="C43" s="13">
        <f>SUBTOTAL(109,tblEntertainment32[FEB])</f>
        <v>0</v>
      </c>
      <c r="D43" s="13">
        <f>SUBTOTAL(109,tblEntertainment32[MAR])</f>
        <v>0</v>
      </c>
      <c r="E43" s="13">
        <f>SUBTOTAL(109,tblEntertainment32[APR])</f>
        <v>0</v>
      </c>
      <c r="F43" s="13">
        <f>SUBTOTAL(109,tblEntertainment32[MAY])</f>
        <v>0</v>
      </c>
      <c r="G43" s="13">
        <f>SUBTOTAL(109,tblEntertainment32[JUN])</f>
        <v>0</v>
      </c>
      <c r="H43" s="13">
        <f>SUBTOTAL(109,tblEntertainment32[JUL])</f>
        <v>0</v>
      </c>
      <c r="I43" s="13">
        <f>SUBTOTAL(109,tblEntertainment32[AUG])</f>
        <v>95.25</v>
      </c>
      <c r="J43" s="13">
        <f>SUBTOTAL(109,tblEntertainment32[SEP])</f>
        <v>564</v>
      </c>
      <c r="K43" s="13">
        <f>SUBTOTAL(109,tblEntertainment32[OCT])</f>
        <v>1741</v>
      </c>
      <c r="L43" s="13">
        <f>SUBTOTAL(109,tblEntertainment32[NOV])</f>
        <v>944</v>
      </c>
      <c r="M43" s="13">
        <f>SUBTOTAL(109,tblEntertainment32[DEC])</f>
        <v>0</v>
      </c>
      <c r="N43" s="13">
        <f>SUBTOTAL(109,tblEntertainment32[YEAR])</f>
        <v>3344.25</v>
      </c>
      <c r="O43" s="31"/>
      <c r="P43" s="31">
        <f>SUM(tblEntertainment32[Balance])</f>
        <v>8435.16</v>
      </c>
    </row>
    <row r="44" spans="1:16" s="5" customFormat="1" ht="22" customHeight="1" x14ac:dyDescent="0.1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3"/>
      <c r="P44" s="3"/>
    </row>
    <row r="45" spans="1:16" s="5" customFormat="1" ht="30" customHeight="1" x14ac:dyDescent="0.15">
      <c r="A45" s="16" t="s">
        <v>59</v>
      </c>
      <c r="B45" s="29" t="s">
        <v>18</v>
      </c>
      <c r="C45" s="29" t="s">
        <v>19</v>
      </c>
      <c r="D45" s="29" t="s">
        <v>20</v>
      </c>
      <c r="E45" s="29" t="s">
        <v>21</v>
      </c>
      <c r="F45" s="29" t="s">
        <v>22</v>
      </c>
      <c r="G45" s="29" t="s">
        <v>23</v>
      </c>
      <c r="H45" s="29" t="s">
        <v>24</v>
      </c>
      <c r="I45" s="29" t="s">
        <v>25</v>
      </c>
      <c r="J45" s="29" t="s">
        <v>26</v>
      </c>
      <c r="K45" s="29" t="s">
        <v>3</v>
      </c>
      <c r="L45" s="29" t="s">
        <v>27</v>
      </c>
      <c r="M45" s="29" t="s">
        <v>28</v>
      </c>
      <c r="N45" s="29" t="s">
        <v>29</v>
      </c>
      <c r="O45" s="32" t="s">
        <v>30</v>
      </c>
    </row>
    <row r="46" spans="1:16" s="5" customFormat="1" ht="22.25" customHeight="1" x14ac:dyDescent="0.15">
      <c r="A46" s="12" t="s">
        <v>60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>
        <f t="shared" ref="L46" si="1" xml:space="preserve"> 157.46 + 69.46</f>
        <v>226.92000000000002</v>
      </c>
      <c r="M46" s="13"/>
      <c r="N46" s="13">
        <f>SUM(tblVacations34[[#This Row],[JAN]:[DEC]])</f>
        <v>226.92000000000002</v>
      </c>
      <c r="O46" s="36">
        <v>45971</v>
      </c>
    </row>
    <row r="47" spans="1:16" s="5" customFormat="1" ht="22.25" customHeight="1" x14ac:dyDescent="0.15">
      <c r="A47" s="12" t="s">
        <v>61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>
        <f>SUM(tblVacations34[[#This Row],[JAN]:[DEC]])</f>
        <v>0</v>
      </c>
      <c r="O47" s="3"/>
    </row>
    <row r="48" spans="1:16" s="5" customFormat="1" ht="22.25" customHeight="1" x14ac:dyDescent="0.15">
      <c r="A48" s="12" t="s">
        <v>62</v>
      </c>
      <c r="B48" s="13"/>
      <c r="C48" s="13"/>
      <c r="D48" s="13"/>
      <c r="E48" s="13"/>
      <c r="F48" s="13"/>
      <c r="G48" s="13"/>
      <c r="H48" s="13"/>
      <c r="I48" s="13">
        <v>26.49</v>
      </c>
      <c r="J48" s="13">
        <v>37.520000000000003</v>
      </c>
      <c r="K48" s="13">
        <v>26.49</v>
      </c>
      <c r="L48" s="13"/>
      <c r="M48" s="13"/>
      <c r="N48" s="13">
        <f>SUM(tblVacations34[[#This Row],[JAN]:[DEC]])</f>
        <v>90.5</v>
      </c>
      <c r="O48" s="3"/>
    </row>
    <row r="49" spans="1:17" s="5" customFormat="1" ht="22.25" customHeight="1" x14ac:dyDescent="0.15">
      <c r="A49" s="12" t="s">
        <v>63</v>
      </c>
      <c r="B49" s="13"/>
      <c r="C49" s="13"/>
      <c r="D49" s="13"/>
      <c r="E49" s="13"/>
      <c r="F49" s="13"/>
      <c r="G49" s="13"/>
      <c r="H49" s="13"/>
      <c r="I49" s="13">
        <v>80</v>
      </c>
      <c r="J49" s="13"/>
      <c r="K49" s="30">
        <v>586</v>
      </c>
      <c r="L49" s="13"/>
      <c r="M49" s="13"/>
      <c r="N49" s="13">
        <f>SUM(tblVacations34[[#This Row],[JAN]:[DEC]])</f>
        <v>666</v>
      </c>
      <c r="O49" s="3"/>
    </row>
    <row r="50" spans="1:17" ht="22.25" customHeight="1" x14ac:dyDescent="0.15">
      <c r="A50" s="12" t="s">
        <v>64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>
        <f>SUM(tblVacations34[[#This Row],[JAN]:[DEC]])</f>
        <v>0</v>
      </c>
      <c r="O50" s="3"/>
      <c r="P50" s="18"/>
    </row>
    <row r="51" spans="1:17" s="19" customFormat="1" ht="22.25" customHeight="1" x14ac:dyDescent="0.15">
      <c r="A51" s="12" t="s">
        <v>35</v>
      </c>
      <c r="B51" s="13">
        <f>SUBTOTAL(109,tblVacations34[JAN])</f>
        <v>0</v>
      </c>
      <c r="C51" s="13">
        <f>SUBTOTAL(109,tblVacations34[FEB])</f>
        <v>0</v>
      </c>
      <c r="D51" s="13">
        <f>SUBTOTAL(109,tblVacations34[MAR])</f>
        <v>0</v>
      </c>
      <c r="E51" s="13">
        <f>SUBTOTAL(109,tblVacations34[APR])</f>
        <v>0</v>
      </c>
      <c r="F51" s="13">
        <f>SUBTOTAL(109,tblVacations34[MAY])</f>
        <v>0</v>
      </c>
      <c r="G51" s="13">
        <f>SUBTOTAL(109,tblVacations34[JUN])</f>
        <v>0</v>
      </c>
      <c r="H51" s="13">
        <f>SUBTOTAL(109,tblVacations34[JUL])</f>
        <v>0</v>
      </c>
      <c r="I51" s="13">
        <f>SUM(tblVacations34[AUG])</f>
        <v>106.49</v>
      </c>
      <c r="J51" s="13">
        <f>SUBTOTAL(109,tblVacations34[SEP])</f>
        <v>37.520000000000003</v>
      </c>
      <c r="K51" s="13">
        <f>SUBTOTAL(109,tblVacations34[OCT])</f>
        <v>612.49</v>
      </c>
      <c r="L51" s="13">
        <f>SUBTOTAL(109,tblVacations34[NOV])</f>
        <v>226.92000000000002</v>
      </c>
      <c r="M51" s="13">
        <f>SUBTOTAL(109,tblVacations34[DEC])</f>
        <v>0</v>
      </c>
      <c r="N51" s="13">
        <f>SUBTOTAL(109,tblVacations34[YEAR])</f>
        <v>983.42000000000007</v>
      </c>
      <c r="O51" s="31"/>
    </row>
    <row r="52" spans="1:17" s="5" customFormat="1" ht="22" customHeight="1" x14ac:dyDescent="0.1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3"/>
      <c r="P52" s="3"/>
    </row>
    <row r="53" spans="1:17" s="5" customFormat="1" ht="30" customHeight="1" x14ac:dyDescent="0.15">
      <c r="A53" s="16" t="s">
        <v>11</v>
      </c>
      <c r="B53" s="29" t="s">
        <v>18</v>
      </c>
      <c r="C53" s="29" t="s">
        <v>19</v>
      </c>
      <c r="D53" s="29" t="s">
        <v>20</v>
      </c>
      <c r="E53" s="29" t="s">
        <v>21</v>
      </c>
      <c r="F53" s="29" t="s">
        <v>22</v>
      </c>
      <c r="G53" s="29" t="s">
        <v>23</v>
      </c>
      <c r="H53" s="29" t="s">
        <v>24</v>
      </c>
      <c r="I53" s="29" t="s">
        <v>25</v>
      </c>
      <c r="J53" s="29" t="s">
        <v>26</v>
      </c>
      <c r="K53" s="29" t="s">
        <v>3</v>
      </c>
      <c r="L53" s="29" t="s">
        <v>27</v>
      </c>
      <c r="M53" s="29" t="s">
        <v>28</v>
      </c>
      <c r="N53" s="29" t="s">
        <v>65</v>
      </c>
      <c r="O53" s="29" t="s">
        <v>66</v>
      </c>
      <c r="P53" s="29" t="s">
        <v>29</v>
      </c>
      <c r="Q53" s="32" t="s">
        <v>30</v>
      </c>
    </row>
    <row r="54" spans="1:17" s="5" customFormat="1" ht="22.25" customHeight="1" x14ac:dyDescent="0.15">
      <c r="A54" s="12" t="s">
        <v>67</v>
      </c>
      <c r="B54" s="13"/>
      <c r="C54" s="13"/>
      <c r="D54" s="13"/>
      <c r="E54" s="13"/>
      <c r="F54" s="13"/>
      <c r="G54" s="13"/>
      <c r="H54" s="13"/>
      <c r="I54" s="13">
        <v>872.95</v>
      </c>
      <c r="J54" s="13"/>
      <c r="K54" s="13">
        <v>344</v>
      </c>
      <c r="L54" s="13">
        <v>155</v>
      </c>
      <c r="M54" s="13"/>
      <c r="N54" s="13">
        <v>1049.46</v>
      </c>
      <c r="O54" s="13">
        <f>1112.85 + SUM(tblRecreation35[[#This Row],[AUG]:[DEC]])</f>
        <v>2484.8000000000002</v>
      </c>
      <c r="P54" s="13">
        <f>SUM(tblRecreation35[[#This Row],[JAN]:[DEC]])</f>
        <v>1371.95</v>
      </c>
      <c r="Q54" s="36">
        <v>45971</v>
      </c>
    </row>
    <row r="55" spans="1:17" s="5" customFormat="1" ht="22.25" customHeight="1" x14ac:dyDescent="0.15">
      <c r="A55" s="12" t="s">
        <v>68</v>
      </c>
      <c r="B55" s="13"/>
      <c r="C55" s="13"/>
      <c r="D55" s="13"/>
      <c r="E55" s="13"/>
      <c r="F55" s="13"/>
      <c r="G55" s="13"/>
      <c r="H55" s="13"/>
      <c r="I55" s="13">
        <v>30</v>
      </c>
      <c r="J55" s="13"/>
      <c r="K55" s="13">
        <v>30</v>
      </c>
      <c r="L55" s="13"/>
      <c r="M55" s="13"/>
      <c r="N55" s="13">
        <v>1504.91</v>
      </c>
      <c r="O55" s="13">
        <f>1385.32 + SUM(tblRecreation35[[#This Row],[AUG]:[DEC]])</f>
        <v>1445.32</v>
      </c>
      <c r="P55" s="13">
        <f>SUM(tblRecreation35[[#This Row],[JAN]:[DEC]])</f>
        <v>60</v>
      </c>
      <c r="Q55" s="3"/>
    </row>
    <row r="56" spans="1:17" s="5" customFormat="1" ht="22.25" customHeight="1" x14ac:dyDescent="0.15">
      <c r="A56" s="12" t="s">
        <v>69</v>
      </c>
      <c r="B56" s="13"/>
      <c r="C56" s="13"/>
      <c r="D56" s="13"/>
      <c r="E56" s="13"/>
      <c r="F56" s="13"/>
      <c r="G56" s="13"/>
      <c r="H56" s="13"/>
      <c r="I56" s="13">
        <v>79.930000000000007</v>
      </c>
      <c r="J56" s="13"/>
      <c r="K56" s="13"/>
      <c r="L56" s="13"/>
      <c r="M56" s="13"/>
      <c r="N56" s="13">
        <v>2773.36</v>
      </c>
      <c r="O56" s="13">
        <f>3148.9 + SUM(tblRecreation35[[#This Row],[AUG]:[DEC]])</f>
        <v>3228.83</v>
      </c>
      <c r="P56" s="13">
        <f>SUM(tblRecreation35[[#This Row],[JAN]:[DEC]])</f>
        <v>79.930000000000007</v>
      </c>
      <c r="Q56" s="3"/>
    </row>
    <row r="57" spans="1:17" s="5" customFormat="1" ht="22.25" customHeight="1" x14ac:dyDescent="0.15">
      <c r="A57" s="12" t="s">
        <v>70</v>
      </c>
      <c r="B57" s="13"/>
      <c r="C57" s="13"/>
      <c r="D57" s="13"/>
      <c r="E57" s="13"/>
      <c r="F57" s="13"/>
      <c r="G57" s="13"/>
      <c r="H57" s="13"/>
      <c r="I57" s="13">
        <v>285.45999999999998</v>
      </c>
      <c r="J57" s="13"/>
      <c r="K57" s="13"/>
      <c r="L57" s="13"/>
      <c r="M57" s="13"/>
      <c r="N57" s="13">
        <v>900.99</v>
      </c>
      <c r="O57" s="13">
        <f>715.33 + SUM(tblRecreation35[[#This Row],[AUG]:[DEC]])</f>
        <v>1000.79</v>
      </c>
      <c r="P57" s="13">
        <f>SUM(tblRecreation35[[#This Row],[JAN]:[DEC]])</f>
        <v>285.45999999999998</v>
      </c>
      <c r="Q57" s="3"/>
    </row>
    <row r="58" spans="1:17" s="5" customFormat="1" ht="22.25" customHeight="1" x14ac:dyDescent="0.15">
      <c r="A58" s="12" t="s">
        <v>71</v>
      </c>
      <c r="B58" s="13"/>
      <c r="C58" s="13"/>
      <c r="D58" s="13"/>
      <c r="E58" s="13"/>
      <c r="F58" s="13"/>
      <c r="G58" s="13"/>
      <c r="H58" s="13"/>
      <c r="I58" s="13">
        <v>0</v>
      </c>
      <c r="J58" s="13"/>
      <c r="K58" s="13"/>
      <c r="L58" s="13"/>
      <c r="M58" s="13"/>
      <c r="N58" s="13">
        <v>37.94</v>
      </c>
      <c r="O58" s="13">
        <f>42 + SUM(tblRecreation35[[#This Row],[AUG]:[DEC]])</f>
        <v>42</v>
      </c>
      <c r="P58" s="13">
        <f>SUM(tblRecreation35[[#This Row],[JAN]:[DEC]])</f>
        <v>0</v>
      </c>
      <c r="Q58" s="3"/>
    </row>
    <row r="59" spans="1:17" s="5" customFormat="1" ht="22.25" customHeight="1" x14ac:dyDescent="0.15">
      <c r="A59" s="12" t="s">
        <v>72</v>
      </c>
      <c r="B59" s="13"/>
      <c r="C59" s="13"/>
      <c r="D59" s="13"/>
      <c r="E59" s="13"/>
      <c r="F59" s="13"/>
      <c r="G59" s="13"/>
      <c r="H59" s="13"/>
      <c r="I59" s="13">
        <v>0</v>
      </c>
      <c r="J59" s="13"/>
      <c r="K59" s="13"/>
      <c r="L59" s="13"/>
      <c r="M59" s="13"/>
      <c r="N59" s="13"/>
      <c r="O59" s="13"/>
      <c r="P59" s="13">
        <f>SUM(tblRecreation35[[#This Row],[JAN]:[DEC]])</f>
        <v>0</v>
      </c>
      <c r="Q59" s="3"/>
    </row>
    <row r="60" spans="1:17" s="5" customFormat="1" ht="22.25" customHeight="1" x14ac:dyDescent="0.15">
      <c r="A60" s="12" t="s">
        <v>73</v>
      </c>
      <c r="B60" s="13"/>
      <c r="C60" s="13"/>
      <c r="D60" s="13"/>
      <c r="E60" s="13"/>
      <c r="F60" s="13"/>
      <c r="G60" s="13"/>
      <c r="H60" s="13"/>
      <c r="I60" s="13">
        <v>0</v>
      </c>
      <c r="J60" s="13"/>
      <c r="K60" s="13"/>
      <c r="L60" s="13"/>
      <c r="M60" s="13"/>
      <c r="N60" s="13"/>
      <c r="O60" s="13"/>
      <c r="P60" s="13">
        <f>SUM(tblRecreation35[[#This Row],[JAN]:[DEC]])</f>
        <v>0</v>
      </c>
      <c r="Q60" s="3"/>
    </row>
    <row r="61" spans="1:17" s="19" customFormat="1" ht="22.25" customHeight="1" x14ac:dyDescent="0.15">
      <c r="A61" s="12" t="s">
        <v>35</v>
      </c>
      <c r="B61" s="13">
        <f>SUBTOTAL(109,tblRecreation35[JAN])</f>
        <v>0</v>
      </c>
      <c r="C61" s="13">
        <f>SUBTOTAL(109,tblRecreation35[FEB])</f>
        <v>0</v>
      </c>
      <c r="D61" s="13">
        <f>SUBTOTAL(109,tblRecreation35[MAR])</f>
        <v>0</v>
      </c>
      <c r="E61" s="13">
        <f>SUBTOTAL(109,tblRecreation35[APR])</f>
        <v>0</v>
      </c>
      <c r="F61" s="13">
        <f>SUBTOTAL(109,tblRecreation35[MAY])</f>
        <v>0</v>
      </c>
      <c r="G61" s="13">
        <f>SUBTOTAL(109,tblRecreation35[JUN])</f>
        <v>0</v>
      </c>
      <c r="H61" s="13">
        <f>SUBTOTAL(109,tblRecreation35[JUL])</f>
        <v>0</v>
      </c>
      <c r="I61" s="13">
        <f>SUBTOTAL(109,tblRecreation35[AUG])</f>
        <v>1268.3400000000001</v>
      </c>
      <c r="J61" s="13">
        <f>SUBTOTAL(109,tblRecreation35[SEP])</f>
        <v>0</v>
      </c>
      <c r="K61" s="13">
        <f>SUBTOTAL(109,tblRecreation35[OCT])</f>
        <v>374</v>
      </c>
      <c r="L61" s="13">
        <f>SUBTOTAL(109,tblRecreation35[NOV])</f>
        <v>155</v>
      </c>
      <c r="M61" s="13">
        <f>SUBTOTAL(109,tblRecreation35[DEC])</f>
        <v>0</v>
      </c>
      <c r="N61" s="13">
        <f>SUM(tblRecreation35[Current Value])</f>
        <v>6266.6599999999989</v>
      </c>
      <c r="O61" s="13">
        <f>SUM(tblRecreation35[Invested Total])</f>
        <v>8201.74</v>
      </c>
      <c r="P61" s="13">
        <f>SUBTOTAL(109,tblRecreation35[YEAR])</f>
        <v>1797.3400000000001</v>
      </c>
      <c r="Q61" s="31"/>
    </row>
    <row r="62" spans="1:17" s="5" customFormat="1" ht="22" customHeight="1" x14ac:dyDescent="0.15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3"/>
      <c r="P62" s="3"/>
    </row>
    <row r="63" spans="1:17" s="5" customFormat="1" ht="30" customHeight="1" x14ac:dyDescent="0.15">
      <c r="A63" s="16" t="s">
        <v>74</v>
      </c>
      <c r="B63" s="29" t="s">
        <v>18</v>
      </c>
      <c r="C63" s="29" t="s">
        <v>19</v>
      </c>
      <c r="D63" s="29" t="s">
        <v>20</v>
      </c>
      <c r="E63" s="29" t="s">
        <v>21</v>
      </c>
      <c r="F63" s="29" t="s">
        <v>22</v>
      </c>
      <c r="G63" s="29" t="s">
        <v>23</v>
      </c>
      <c r="H63" s="29" t="s">
        <v>24</v>
      </c>
      <c r="I63" s="29" t="s">
        <v>25</v>
      </c>
      <c r="J63" s="29" t="s">
        <v>26</v>
      </c>
      <c r="K63" s="29" t="s">
        <v>3</v>
      </c>
      <c r="L63" s="29" t="s">
        <v>27</v>
      </c>
      <c r="M63" s="29" t="s">
        <v>28</v>
      </c>
      <c r="N63" s="29" t="s">
        <v>29</v>
      </c>
      <c r="O63" s="32" t="s">
        <v>30</v>
      </c>
    </row>
    <row r="64" spans="1:17" s="5" customFormat="1" ht="22.25" customHeight="1" x14ac:dyDescent="0.15">
      <c r="A64" s="12" t="s">
        <v>75</v>
      </c>
      <c r="B64" s="13"/>
      <c r="C64" s="13"/>
      <c r="D64" s="13"/>
      <c r="E64" s="13"/>
      <c r="F64" s="13"/>
      <c r="G64" s="13"/>
      <c r="H64" s="13"/>
      <c r="I64" s="13">
        <v>18.75</v>
      </c>
      <c r="J64" s="13">
        <v>41.81</v>
      </c>
      <c r="K64" s="13">
        <v>51.93</v>
      </c>
      <c r="L64" s="13"/>
      <c r="M64" s="13"/>
      <c r="N64" s="13">
        <f>SUM(tblDues36[[#This Row],[JAN]:[DEC]])</f>
        <v>112.49000000000001</v>
      </c>
      <c r="O64" s="36">
        <v>45979</v>
      </c>
    </row>
    <row r="65" spans="1:16" s="5" customFormat="1" ht="22.25" customHeight="1" x14ac:dyDescent="0.15">
      <c r="A65" s="12" t="s">
        <v>76</v>
      </c>
      <c r="B65" s="13"/>
      <c r="C65" s="13"/>
      <c r="D65" s="13"/>
      <c r="E65" s="13"/>
      <c r="F65" s="13"/>
      <c r="G65" s="13"/>
      <c r="H65" s="13"/>
      <c r="I65" s="13">
        <v>4.57</v>
      </c>
      <c r="J65" s="13">
        <v>8</v>
      </c>
      <c r="K65" s="13">
        <v>8</v>
      </c>
      <c r="L65" s="13">
        <v>10</v>
      </c>
      <c r="M65" s="13">
        <v>10</v>
      </c>
      <c r="N65" s="13">
        <f>SUM(tblDues36[[#This Row],[JAN]:[DEC]])</f>
        <v>40.57</v>
      </c>
      <c r="O65" s="3"/>
    </row>
    <row r="66" spans="1:16" s="5" customFormat="1" ht="22.25" customHeight="1" x14ac:dyDescent="0.15">
      <c r="A66" s="12" t="s">
        <v>77</v>
      </c>
      <c r="B66" s="13"/>
      <c r="C66" s="13"/>
      <c r="D66" s="13"/>
      <c r="E66" s="13"/>
      <c r="F66" s="13"/>
      <c r="G66" s="13"/>
      <c r="H66" s="13"/>
      <c r="I66" s="13"/>
      <c r="J66" s="13">
        <v>2.35</v>
      </c>
      <c r="K66" s="13">
        <v>2.99</v>
      </c>
      <c r="L66" s="13">
        <v>2.99</v>
      </c>
      <c r="M66" s="13"/>
      <c r="N66" s="13">
        <f>SUM(tblDues36[[#This Row],[JAN]:[DEC]])</f>
        <v>8.33</v>
      </c>
      <c r="O66" s="3"/>
    </row>
    <row r="67" spans="1:16" s="19" customFormat="1" ht="22.25" customHeight="1" x14ac:dyDescent="0.15">
      <c r="A67" s="12" t="s">
        <v>35</v>
      </c>
      <c r="B67" s="13">
        <f>SUBTOTAL(109,tblDues36[JAN])</f>
        <v>0</v>
      </c>
      <c r="C67" s="13">
        <f>SUBTOTAL(109,tblDues36[FEB])</f>
        <v>0</v>
      </c>
      <c r="D67" s="13">
        <f>SUBTOTAL(109,tblDues36[MAR])</f>
        <v>0</v>
      </c>
      <c r="E67" s="13">
        <f>SUBTOTAL(109,tblDues36[APR])</f>
        <v>0</v>
      </c>
      <c r="F67" s="13">
        <f>SUBTOTAL(109,tblDues36[MAY])</f>
        <v>0</v>
      </c>
      <c r="G67" s="13">
        <f>SUBTOTAL(109,tblDues36[JUN])</f>
        <v>0</v>
      </c>
      <c r="H67" s="13">
        <f>SUBTOTAL(109,tblDues36[JUL])</f>
        <v>0</v>
      </c>
      <c r="I67" s="13">
        <f>SUBTOTAL(109,tblDues36[AUG])</f>
        <v>23.32</v>
      </c>
      <c r="J67" s="13">
        <f>SUBTOTAL(109,tblDues36[SEP])</f>
        <v>52.160000000000004</v>
      </c>
      <c r="K67" s="13">
        <f>SUBTOTAL(109,tblDues36[OCT])</f>
        <v>62.92</v>
      </c>
      <c r="L67" s="13">
        <f>SUBTOTAL(109,tblDues36[NOV])</f>
        <v>12.99</v>
      </c>
      <c r="M67" s="13">
        <f>SUBTOTAL(109,tblDues36[DEC])</f>
        <v>10</v>
      </c>
      <c r="N67" s="13">
        <f>SUBTOTAL(109,tblDues36[YEAR])</f>
        <v>161.39000000000001</v>
      </c>
      <c r="O67" s="31"/>
    </row>
    <row r="68" spans="1:16" s="5" customFormat="1" ht="22" customHeight="1" x14ac:dyDescent="0.1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3"/>
      <c r="P68" s="3"/>
    </row>
    <row r="69" spans="1:16" s="5" customFormat="1" ht="30" customHeight="1" x14ac:dyDescent="0.15">
      <c r="A69" s="16" t="s">
        <v>78</v>
      </c>
      <c r="B69" s="29" t="s">
        <v>18</v>
      </c>
      <c r="C69" s="29" t="s">
        <v>19</v>
      </c>
      <c r="D69" s="29" t="s">
        <v>20</v>
      </c>
      <c r="E69" s="29" t="s">
        <v>21</v>
      </c>
      <c r="F69" s="29" t="s">
        <v>22</v>
      </c>
      <c r="G69" s="29" t="s">
        <v>23</v>
      </c>
      <c r="H69" s="29" t="s">
        <v>24</v>
      </c>
      <c r="I69" s="29" t="s">
        <v>25</v>
      </c>
      <c r="J69" s="29" t="s">
        <v>26</v>
      </c>
      <c r="K69" s="29" t="s">
        <v>3</v>
      </c>
      <c r="L69" s="29" t="s">
        <v>27</v>
      </c>
      <c r="M69" s="29" t="s">
        <v>28</v>
      </c>
      <c r="N69" s="29" t="s">
        <v>29</v>
      </c>
      <c r="O69" s="32" t="s">
        <v>30</v>
      </c>
    </row>
    <row r="70" spans="1:16" s="5" customFormat="1" ht="22.25" customHeight="1" x14ac:dyDescent="0.15">
      <c r="A70" s="12" t="s">
        <v>79</v>
      </c>
      <c r="B70" s="13"/>
      <c r="C70" s="13"/>
      <c r="D70" s="13"/>
      <c r="E70" s="13"/>
      <c r="F70" s="13"/>
      <c r="G70" s="13"/>
      <c r="H70" s="13"/>
      <c r="I70" s="13"/>
      <c r="J70" s="13"/>
      <c r="K70" s="13">
        <v>11.01</v>
      </c>
      <c r="L70" s="13"/>
      <c r="M70" s="13"/>
      <c r="N70" s="13">
        <f>SUM(tblPersonal37[[#This Row],[JAN]:[DEC]])</f>
        <v>11.01</v>
      </c>
      <c r="O70" s="36"/>
    </row>
    <row r="71" spans="1:16" s="5" customFormat="1" ht="22.25" customHeight="1" x14ac:dyDescent="0.15">
      <c r="A71" s="12" t="s">
        <v>80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>
        <f>SUM(tblPersonal37[[#This Row],[JAN]:[DEC]])</f>
        <v>0</v>
      </c>
      <c r="O71" s="3"/>
    </row>
    <row r="72" spans="1:16" s="5" customFormat="1" ht="22.25" customHeight="1" x14ac:dyDescent="0.15">
      <c r="A72" s="12" t="s">
        <v>81</v>
      </c>
      <c r="B72" s="13"/>
      <c r="C72" s="13"/>
      <c r="D72" s="13"/>
      <c r="E72" s="13"/>
      <c r="F72" s="13"/>
      <c r="G72" s="13"/>
      <c r="H72" s="13"/>
      <c r="I72" s="13">
        <v>12.99</v>
      </c>
      <c r="J72" s="13"/>
      <c r="K72" s="13"/>
      <c r="L72" s="13"/>
      <c r="M72" s="13"/>
      <c r="N72" s="13">
        <f>SUM(tblPersonal37[[#This Row],[JAN]:[DEC]])</f>
        <v>12.99</v>
      </c>
      <c r="O72" s="3"/>
    </row>
    <row r="73" spans="1:16" ht="22.25" customHeight="1" x14ac:dyDescent="0.15">
      <c r="A73" s="12" t="s">
        <v>82</v>
      </c>
      <c r="B73" s="13"/>
      <c r="C73" s="13"/>
      <c r="D73" s="13"/>
      <c r="E73" s="13"/>
      <c r="F73" s="13"/>
      <c r="G73" s="13"/>
      <c r="H73" s="13"/>
      <c r="I73" s="13"/>
      <c r="J73" s="13"/>
      <c r="K73" s="13">
        <f xml:space="preserve"> 45.15 +15.48</f>
        <v>60.629999999999995</v>
      </c>
      <c r="L73" s="13">
        <f t="shared" ref="L73" si="2">13.94</f>
        <v>13.94</v>
      </c>
      <c r="M73" s="13"/>
      <c r="N73" s="13">
        <f>SUM(tblPersonal37[[#This Row],[JAN]:[DEC]])</f>
        <v>74.569999999999993</v>
      </c>
      <c r="O73" s="3"/>
      <c r="P73" s="18"/>
    </row>
    <row r="74" spans="1:16" s="19" customFormat="1" ht="22.25" customHeight="1" x14ac:dyDescent="0.15">
      <c r="A74" s="12" t="s">
        <v>35</v>
      </c>
      <c r="B74" s="13">
        <f>SUBTOTAL(109,tblPersonal37[JAN])</f>
        <v>0</v>
      </c>
      <c r="C74" s="13">
        <f>SUBTOTAL(109,tblPersonal37[FEB])</f>
        <v>0</v>
      </c>
      <c r="D74" s="13">
        <f>SUBTOTAL(109,tblPersonal37[MAR])</f>
        <v>0</v>
      </c>
      <c r="E74" s="13">
        <f>SUBTOTAL(109,tblPersonal37[APR])</f>
        <v>0</v>
      </c>
      <c r="F74" s="13">
        <f>SUBTOTAL(109,tblPersonal37[MAY])</f>
        <v>0</v>
      </c>
      <c r="G74" s="13">
        <f>SUBTOTAL(109,tblPersonal37[JUN])</f>
        <v>0</v>
      </c>
      <c r="H74" s="13">
        <f>SUBTOTAL(109,tblPersonal37[JUL])</f>
        <v>0</v>
      </c>
      <c r="I74" s="13">
        <f>SUBTOTAL(109,tblPersonal37[AUG])</f>
        <v>12.99</v>
      </c>
      <c r="J74" s="13">
        <f>SUBTOTAL(109,tblPersonal37[SEP])</f>
        <v>0</v>
      </c>
      <c r="K74" s="13">
        <f>SUBTOTAL(109,tblPersonal37[OCT])</f>
        <v>71.64</v>
      </c>
      <c r="L74" s="13">
        <f>SUBTOTAL(109,tblPersonal37[NOV])</f>
        <v>13.94</v>
      </c>
      <c r="M74" s="13">
        <f>SUBTOTAL(109,tblPersonal37[DEC])</f>
        <v>0</v>
      </c>
      <c r="N74" s="13">
        <f>SUBTOTAL(109,tblPersonal37[YEAR])</f>
        <v>98.57</v>
      </c>
      <c r="O74" s="31"/>
    </row>
    <row r="75" spans="1:16" s="5" customFormat="1" ht="22" customHeight="1" x14ac:dyDescent="0.1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3"/>
      <c r="P75" s="3"/>
    </row>
    <row r="76" spans="1:16" s="5" customFormat="1" ht="30" customHeight="1" x14ac:dyDescent="0.15">
      <c r="A76" s="16" t="s">
        <v>83</v>
      </c>
      <c r="B76" s="29" t="s">
        <v>18</v>
      </c>
      <c r="C76" s="29" t="s">
        <v>19</v>
      </c>
      <c r="D76" s="29" t="s">
        <v>20</v>
      </c>
      <c r="E76" s="29" t="s">
        <v>21</v>
      </c>
      <c r="F76" s="29" t="s">
        <v>22</v>
      </c>
      <c r="G76" s="29" t="s">
        <v>23</v>
      </c>
      <c r="H76" s="29" t="s">
        <v>24</v>
      </c>
      <c r="I76" s="29" t="s">
        <v>25</v>
      </c>
      <c r="J76" s="29" t="s">
        <v>26</v>
      </c>
      <c r="K76" s="29" t="s">
        <v>3</v>
      </c>
      <c r="L76" s="29" t="s">
        <v>27</v>
      </c>
      <c r="M76" s="29" t="s">
        <v>28</v>
      </c>
      <c r="N76" s="29" t="s">
        <v>29</v>
      </c>
      <c r="O76" s="32" t="s">
        <v>30</v>
      </c>
      <c r="P76" s="117" t="s">
        <v>84</v>
      </c>
    </row>
    <row r="77" spans="1:16" s="5" customFormat="1" ht="30" customHeight="1" x14ac:dyDescent="0.15">
      <c r="A77" s="12" t="s">
        <v>85</v>
      </c>
      <c r="B77" s="31"/>
      <c r="C77" s="31"/>
      <c r="D77" s="31"/>
      <c r="E77" s="31"/>
      <c r="F77" s="31"/>
      <c r="G77" s="31"/>
      <c r="H77" s="31"/>
      <c r="I77" s="13">
        <f t="shared" ref="I77" si="3" xml:space="preserve"> 4204 - SUM(I56:I57)</f>
        <v>3838.61</v>
      </c>
      <c r="J77" s="13">
        <f t="shared" ref="J77" si="4">4950 - SUM(J56:J57)</f>
        <v>4950</v>
      </c>
      <c r="K77" s="31">
        <f>2900</f>
        <v>2900</v>
      </c>
      <c r="L77" s="31">
        <f t="shared" ref="L77" si="5">200+200+1000</f>
        <v>1400</v>
      </c>
      <c r="M77" s="31"/>
      <c r="N77" s="31">
        <f>SUM(tblFinancial38[[#This Row],[JAN]:[DEC]])</f>
        <v>13088.61</v>
      </c>
      <c r="O77" s="36">
        <v>45971</v>
      </c>
      <c r="P77" s="118" t="s">
        <v>54</v>
      </c>
    </row>
    <row r="78" spans="1:16" s="5" customFormat="1" ht="22.25" customHeight="1" x14ac:dyDescent="0.15">
      <c r="A78" s="12" t="s">
        <v>86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>
        <f>SUM(tblFinancial38[[#This Row],[JAN]:[DEC]])</f>
        <v>0</v>
      </c>
      <c r="O78" s="3"/>
    </row>
    <row r="79" spans="1:16" ht="22.25" customHeight="1" x14ac:dyDescent="0.15">
      <c r="A79" s="12" t="s">
        <v>87</v>
      </c>
      <c r="B79" s="13"/>
      <c r="C79" s="13"/>
      <c r="D79" s="13"/>
      <c r="E79" s="13"/>
      <c r="F79" s="13"/>
      <c r="G79" s="13"/>
      <c r="H79" s="13"/>
      <c r="I79" s="13"/>
      <c r="J79" s="13"/>
      <c r="K79" s="13">
        <v>64.72</v>
      </c>
      <c r="L79" s="13">
        <f xml:space="preserve"> 39.62 + 53.85</f>
        <v>93.47</v>
      </c>
      <c r="M79" s="13"/>
      <c r="N79" s="13">
        <f>SUM(tblFinancial38[[#This Row],[JAN]:[DEC]])</f>
        <v>158.19</v>
      </c>
      <c r="O79" s="3"/>
      <c r="P79" s="5"/>
    </row>
    <row r="80" spans="1:16" s="19" customFormat="1" ht="22.25" customHeight="1" x14ac:dyDescent="0.15">
      <c r="A80" s="12" t="s">
        <v>35</v>
      </c>
      <c r="B80" s="13">
        <f>SUBTOTAL(109,tblFinancial38[JAN])</f>
        <v>0</v>
      </c>
      <c r="C80" s="13">
        <f>SUBTOTAL(109,tblFinancial38[FEB])</f>
        <v>0</v>
      </c>
      <c r="D80" s="13">
        <f>SUBTOTAL(109,tblFinancial38[MAR])</f>
        <v>0</v>
      </c>
      <c r="E80" s="13">
        <f>SUBTOTAL(109,tblFinancial38[APR])</f>
        <v>0</v>
      </c>
      <c r="F80" s="13">
        <f>SUBTOTAL(109,tblFinancial38[MAY])</f>
        <v>0</v>
      </c>
      <c r="G80" s="13">
        <f>SUBTOTAL(109,tblFinancial38[JUN])</f>
        <v>0</v>
      </c>
      <c r="H80" s="13">
        <f>SUBTOTAL(109,tblFinancial38[JUL])</f>
        <v>0</v>
      </c>
      <c r="I80" s="13">
        <f>SUBTOTAL(109,tblFinancial38[AUG])</f>
        <v>3838.61</v>
      </c>
      <c r="J80" s="13">
        <f>SUBTOTAL(109,tblFinancial38[SEP])</f>
        <v>4950</v>
      </c>
      <c r="K80" s="13">
        <f>SUBTOTAL(109,tblFinancial38[OCT])</f>
        <v>2964.72</v>
      </c>
      <c r="L80" s="13">
        <f>SUBTOTAL(109,tblFinancial38[NOV])</f>
        <v>1493.47</v>
      </c>
      <c r="M80" s="13">
        <f>SUBTOTAL(109,tblFinancial38[DEC])</f>
        <v>0</v>
      </c>
      <c r="N80" s="13">
        <f>SUBTOTAL(109,tblFinancial38[YEAR])</f>
        <v>13246.800000000001</v>
      </c>
      <c r="O80" s="31"/>
      <c r="P80" s="31"/>
    </row>
    <row r="81" spans="1:16" s="5" customFormat="1" ht="22" customHeight="1" x14ac:dyDescent="0.1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3"/>
      <c r="P81" s="3"/>
    </row>
    <row r="82" spans="1:16" s="5" customFormat="1" ht="30" customHeight="1" x14ac:dyDescent="0.15">
      <c r="A82" s="16" t="s">
        <v>88</v>
      </c>
      <c r="B82" s="29" t="s">
        <v>18</v>
      </c>
      <c r="C82" s="29" t="s">
        <v>19</v>
      </c>
      <c r="D82" s="29" t="s">
        <v>20</v>
      </c>
      <c r="E82" s="29" t="s">
        <v>21</v>
      </c>
      <c r="F82" s="29" t="s">
        <v>22</v>
      </c>
      <c r="G82" s="29" t="s">
        <v>23</v>
      </c>
      <c r="H82" s="29" t="s">
        <v>24</v>
      </c>
      <c r="I82" s="29" t="s">
        <v>25</v>
      </c>
      <c r="J82" s="29" t="s">
        <v>26</v>
      </c>
      <c r="K82" s="29" t="s">
        <v>3</v>
      </c>
      <c r="L82" s="29" t="s">
        <v>27</v>
      </c>
      <c r="M82" s="29" t="s">
        <v>28</v>
      </c>
      <c r="N82" s="29" t="s">
        <v>29</v>
      </c>
      <c r="O82" s="32" t="s">
        <v>30</v>
      </c>
    </row>
    <row r="83" spans="1:16" s="5" customFormat="1" ht="22.25" customHeight="1" x14ac:dyDescent="0.15">
      <c r="A83" s="14" t="s">
        <v>89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>
        <f>SUM(tblMisc39[[#This Row],[JAN]:[DEC]])</f>
        <v>0</v>
      </c>
      <c r="O83" s="3"/>
    </row>
    <row r="84" spans="1:16" s="20" customFormat="1" ht="22.25" customHeight="1" x14ac:dyDescent="0.15">
      <c r="A84" s="12" t="s">
        <v>35</v>
      </c>
      <c r="B84" s="13">
        <f>SUBTOTAL(109,tblMisc39[JAN])</f>
        <v>0</v>
      </c>
      <c r="C84" s="13">
        <f>SUBTOTAL(109,tblMisc39[FEB])</f>
        <v>0</v>
      </c>
      <c r="D84" s="13">
        <f>SUBTOTAL(109,tblMisc39[MAR])</f>
        <v>0</v>
      </c>
      <c r="E84" s="13">
        <f>SUBTOTAL(109,tblMisc39[APR])</f>
        <v>0</v>
      </c>
      <c r="F84" s="13">
        <f>SUBTOTAL(109,tblMisc39[MAY])</f>
        <v>0</v>
      </c>
      <c r="G84" s="13">
        <f>SUBTOTAL(109,tblMisc39[JUN])</f>
        <v>0</v>
      </c>
      <c r="H84" s="13">
        <f>SUBTOTAL(109,tblMisc39[JUL])</f>
        <v>0</v>
      </c>
      <c r="I84" s="13">
        <f>SUBTOTAL(109,tblMisc39[AUG])</f>
        <v>0</v>
      </c>
      <c r="J84" s="13">
        <f>SUBTOTAL(109,tblMisc39[SEP])</f>
        <v>0</v>
      </c>
      <c r="K84" s="13">
        <f>SUBTOTAL(109,tblMisc39[OCT])</f>
        <v>0</v>
      </c>
      <c r="L84" s="13">
        <f>SUBTOTAL(109,tblMisc39[NOV])</f>
        <v>0</v>
      </c>
      <c r="M84" s="13">
        <f>SUBTOTAL(109,tblMisc39[DEC])</f>
        <v>0</v>
      </c>
      <c r="N84" s="13">
        <f>SUBTOTAL(109,tblMisc39[YEAR])</f>
        <v>0</v>
      </c>
      <c r="O84" s="31"/>
    </row>
    <row r="85" spans="1:16" ht="22" customHeight="1" x14ac:dyDescent="0.1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3"/>
    </row>
    <row r="86" spans="1:16" ht="22" customHeight="1" x14ac:dyDescent="0.15">
      <c r="A86" s="33" t="s">
        <v>90</v>
      </c>
      <c r="B86" s="4"/>
      <c r="C86" s="4"/>
      <c r="D86" s="4"/>
      <c r="E86" s="4"/>
      <c r="F86" s="4"/>
      <c r="G86" s="4"/>
      <c r="H86" s="4"/>
      <c r="I86" s="35" t="s">
        <v>91</v>
      </c>
      <c r="J86" s="34" t="s">
        <v>35</v>
      </c>
      <c r="K86" s="4"/>
      <c r="L86" s="4"/>
      <c r="M86" s="4"/>
      <c r="N86" s="4"/>
      <c r="O86" s="3"/>
    </row>
    <row r="87" spans="1:16" ht="22" customHeight="1" x14ac:dyDescent="0.15">
      <c r="A87" s="30" t="s">
        <v>92</v>
      </c>
      <c r="B87" s="4"/>
      <c r="C87" s="4"/>
      <c r="D87" s="4"/>
      <c r="E87" s="4"/>
      <c r="F87" s="4"/>
      <c r="G87" s="4"/>
      <c r="H87" s="4"/>
      <c r="I87" s="11">
        <v>21237.06</v>
      </c>
      <c r="J87" s="4">
        <v>21237.06</v>
      </c>
      <c r="K87" s="4"/>
      <c r="L87" s="4"/>
      <c r="M87" s="4"/>
      <c r="N87" s="4"/>
      <c r="O87" s="3"/>
    </row>
    <row r="88" spans="1:16" ht="22" customHeight="1" x14ac:dyDescent="0.15">
      <c r="A88" s="30" t="s">
        <v>93</v>
      </c>
      <c r="B88" s="4"/>
      <c r="C88" s="4"/>
      <c r="D88" s="4"/>
      <c r="E88" s="4"/>
      <c r="F88" s="4"/>
      <c r="G88" s="4"/>
      <c r="H88" s="4"/>
      <c r="I88" s="11">
        <v>9220.7900000000009</v>
      </c>
      <c r="J88" s="4">
        <v>9220.7900000000009</v>
      </c>
      <c r="K88" s="4"/>
      <c r="L88" s="4"/>
      <c r="M88" s="4"/>
      <c r="N88" s="4"/>
      <c r="O88" s="3"/>
    </row>
    <row r="89" spans="1:16" ht="22" customHeight="1" x14ac:dyDescent="0.15">
      <c r="A89" s="3" t="s">
        <v>94</v>
      </c>
      <c r="B89" s="4"/>
      <c r="C89" s="4"/>
      <c r="D89" s="4"/>
      <c r="E89" s="4"/>
      <c r="F89" s="4"/>
      <c r="G89" s="4"/>
      <c r="H89" s="4"/>
      <c r="I89" s="11">
        <v>16184.06</v>
      </c>
      <c r="J89" s="4">
        <v>16184.06</v>
      </c>
      <c r="K89" s="4"/>
      <c r="L89" s="4"/>
      <c r="M89" s="4"/>
      <c r="N89" s="4"/>
      <c r="O89" s="3"/>
    </row>
    <row r="90" spans="1:16" ht="22" customHeight="1" x14ac:dyDescent="0.15">
      <c r="A90" s="3" t="s">
        <v>95</v>
      </c>
      <c r="B90" s="4"/>
      <c r="C90" s="4"/>
      <c r="D90" s="4"/>
      <c r="E90" s="4"/>
      <c r="F90" s="4"/>
      <c r="G90" s="4"/>
      <c r="H90" s="4"/>
      <c r="I90" s="11">
        <v>5065.96</v>
      </c>
      <c r="J90" s="4">
        <v>9943.6200000000008</v>
      </c>
      <c r="K90" s="4"/>
      <c r="L90" s="4"/>
      <c r="M90" s="4"/>
      <c r="N90" s="4"/>
      <c r="O90" s="3"/>
    </row>
    <row r="91" spans="1:16" ht="22" customHeight="1" x14ac:dyDescent="0.15">
      <c r="A91" s="3" t="s">
        <v>96</v>
      </c>
      <c r="B91" s="4"/>
      <c r="C91" s="4"/>
      <c r="D91" s="4"/>
      <c r="E91" s="4"/>
      <c r="F91" s="4"/>
      <c r="G91" s="4"/>
      <c r="H91" s="4"/>
      <c r="I91" s="11">
        <f>tblEntertainment32[[#Totals],[Balance]]</f>
        <v>8435.16</v>
      </c>
      <c r="J91" s="11">
        <f>tblEntertainment32[[#Totals],[Balance]]</f>
        <v>8435.16</v>
      </c>
      <c r="K91" s="4"/>
      <c r="L91" s="4"/>
      <c r="M91" s="4"/>
      <c r="N91" s="4"/>
      <c r="O91" s="3"/>
    </row>
    <row r="92" spans="1:16" ht="22" customHeight="1" x14ac:dyDescent="0.15">
      <c r="A92" s="33" t="s">
        <v>35</v>
      </c>
      <c r="B92" s="4"/>
      <c r="C92" s="4"/>
      <c r="D92" s="4"/>
      <c r="E92" s="4"/>
      <c r="F92" s="4"/>
      <c r="G92" s="4"/>
      <c r="H92" s="4"/>
      <c r="I92" s="11">
        <f>SUM(I87:I91)</f>
        <v>60143.03</v>
      </c>
      <c r="J92" s="4">
        <f>SUM(J87:J91)</f>
        <v>65020.69</v>
      </c>
      <c r="K92" s="4"/>
      <c r="L92" s="4"/>
      <c r="M92" s="4"/>
      <c r="N92" s="4"/>
      <c r="O92" s="3"/>
    </row>
    <row r="93" spans="1:16" ht="22" customHeight="1" x14ac:dyDescent="0.1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3"/>
    </row>
    <row r="94" spans="1:16" ht="30" customHeight="1" x14ac:dyDescent="0.15">
      <c r="A94" s="21" t="s">
        <v>97</v>
      </c>
      <c r="B94" s="22" t="s">
        <v>18</v>
      </c>
      <c r="C94" s="23" t="s">
        <v>19</v>
      </c>
      <c r="D94" s="22" t="s">
        <v>20</v>
      </c>
      <c r="E94" s="23" t="s">
        <v>21</v>
      </c>
      <c r="F94" s="22" t="s">
        <v>22</v>
      </c>
      <c r="G94" s="23" t="s">
        <v>23</v>
      </c>
      <c r="H94" s="22" t="s">
        <v>24</v>
      </c>
      <c r="I94" s="23" t="s">
        <v>25</v>
      </c>
      <c r="J94" s="22" t="s">
        <v>26</v>
      </c>
      <c r="K94" s="23" t="s">
        <v>3</v>
      </c>
      <c r="L94" s="22" t="s">
        <v>27</v>
      </c>
      <c r="M94" s="23" t="s">
        <v>28</v>
      </c>
      <c r="N94" s="22" t="s">
        <v>29</v>
      </c>
      <c r="O94" s="21" t="s">
        <v>15</v>
      </c>
    </row>
    <row r="95" spans="1:16" ht="22" customHeight="1" x14ac:dyDescent="0.15">
      <c r="A95" s="6" t="s">
        <v>98</v>
      </c>
      <c r="B95" s="7" t="e">
        <f>SUM(tblMisc39[[#Totals],[JAN]],tblFinancial38[[#Totals],[JAN]],tblPersonal37[[#Totals],[JAN]],tblDues36[[#Totals],[JAN]],tblRecreation35[[#Totals],[JAN]],tblVacations34[[#Totals],[JAN]],#REF!,tblEntertainment32[[#Totals],[JAN]],tblTransportation31[[#Totals],[JAN]],tblDaily30[[#Totals],[JAN]],tblHome29[[#Totals],[JAN]])</f>
        <v>#REF!</v>
      </c>
      <c r="C95" s="8" t="e">
        <f>SUM(tblMisc39[[#Totals],[FEB]],tblFinancial38[[#Totals],[FEB]],tblPersonal37[[#Totals],[FEB]],tblDues36[[#Totals],[FEB]],tblRecreation35[[#Totals],[FEB]],tblVacations34[[#Totals],[FEB]],#REF!,tblEntertainment32[[#Totals],[FEB]],tblTransportation31[[#Totals],[FEB]],tblDaily30[[#Totals],[FEB]],tblHome29[[#Totals],[FEB]])</f>
        <v>#REF!</v>
      </c>
      <c r="D95" s="7" t="e">
        <f>SUM(tblMisc39[[#Totals],[MAR]],tblFinancial38[[#Totals],[MAR]],tblPersonal37[[#Totals],[MAR]],tblDues36[[#Totals],[MAR]],tblRecreation35[[#Totals],[MAR]],tblVacations34[[#Totals],[MAR]],#REF!,tblEntertainment32[[#Totals],[MAR]],tblTransportation31[[#Totals],[MAR]],tblDaily30[[#Totals],[MAR]],tblHome29[[#Totals],[MAR]])</f>
        <v>#REF!</v>
      </c>
      <c r="E95" s="8" t="e">
        <f>SUM(tblMisc39[[#Totals],[APR]],tblFinancial38[[#Totals],[APR]],tblPersonal37[[#Totals],[APR]],tblDues36[[#Totals],[APR]],tblRecreation35[[#Totals],[APR]],tblVacations34[[#Totals],[APR]],#REF!,tblEntertainment32[[#Totals],[APR]],tblTransportation31[[#Totals],[APR]],tblDaily30[[#Totals],[APR]],tblHome29[[#Totals],[APR]])</f>
        <v>#REF!</v>
      </c>
      <c r="F95" s="7" t="e">
        <f>SUM(tblMisc39[[#Totals],[MAY]],tblFinancial38[[#Totals],[MAY]],tblPersonal37[[#Totals],[MAY]],tblDues36[[#Totals],[MAY]],tblRecreation35[[#Totals],[MAY]],tblVacations34[[#Totals],[MAY]],#REF!,tblEntertainment32[[#Totals],[MAY]],tblTransportation31[[#Totals],[MAY]],tblDaily30[[#Totals],[MAY]],tblHome29[[#Totals],[MAY]])</f>
        <v>#REF!</v>
      </c>
      <c r="G95" s="8" t="e">
        <f>SUM(tblMisc39[[#Totals],[JUN]],tblFinancial38[[#Totals],[JUN]],tblPersonal37[[#Totals],[JUN]],tblDues36[[#Totals],[JUN]],tblRecreation35[[#Totals],[JUN]],tblVacations34[[#Totals],[JUN]],#REF!,tblEntertainment32[[#Totals],[JUN]],tblTransportation31[[#Totals],[JUN]],tblDaily30[[#Totals],[JUN]],tblHome29[[#Totals],[JUN]])</f>
        <v>#REF!</v>
      </c>
      <c r="H95" s="7" t="e">
        <f>SUM(tblMisc39[[#Totals],[JUL]],tblFinancial38[[#Totals],[JUL]],tblPersonal37[[#Totals],[JUL]],tblDues36[[#Totals],[JUL]],tblRecreation35[[#Totals],[JUL]],tblVacations34[[#Totals],[JUL]],#REF!,tblEntertainment32[[#Totals],[JUL]],tblTransportation31[[#Totals],[JUL]],tblDaily30[[#Totals],[JUL]],tblHome29[[#Totals],[JUL]])</f>
        <v>#REF!</v>
      </c>
      <c r="I95" s="8">
        <f>SUM(I21,I28,I34,I43,I51,I67,I74,I80,I84)</f>
        <v>4881.55</v>
      </c>
      <c r="J95" s="8">
        <f>SUM(J21,J28,J34,J43,J51,J67,J74,J80,J84)</f>
        <v>7149.23</v>
      </c>
      <c r="K95" s="8">
        <f>SUM(K21,K28,K34,K43,K51,K67,K74,K80)</f>
        <v>6165.03</v>
      </c>
      <c r="L95" s="8">
        <f t="shared" ref="L95:N95" si="6">SUM(L21,L28,L34,L43,L51,L67,L74,L80)</f>
        <v>3361.19</v>
      </c>
      <c r="M95" s="8">
        <f t="shared" si="6"/>
        <v>10</v>
      </c>
      <c r="N95" s="8">
        <f t="shared" si="6"/>
        <v>21567</v>
      </c>
      <c r="O95" s="9"/>
    </row>
    <row r="96" spans="1:16" ht="22" customHeight="1" x14ac:dyDescent="0.15">
      <c r="A96" s="6" t="s">
        <v>99</v>
      </c>
      <c r="B96" s="7"/>
      <c r="C96" s="8"/>
      <c r="D96" s="7"/>
      <c r="E96" s="8"/>
      <c r="F96" s="7"/>
      <c r="G96" s="8"/>
      <c r="H96" s="7"/>
      <c r="I96" s="8">
        <f xml:space="preserve"> SUM(tblHome29[[#Totals],[AUG]] + tblDaily30[[#Totals],[AUG]] + tblTransportation31[[#Totals],[AUG]] + tblEntertainment32[[#Totals],[AUG]] + tblVacations34[[#Totals],[AUG]]+ tblDues36[[#Totals],[AUG]]+ tblPersonal37[[#Totals],[AUG]])</f>
        <v>1042.94</v>
      </c>
      <c r="J96" s="8">
        <f xml:space="preserve"> SUM(tblHome29[[#Totals],[SEP]] + tblDaily30[[#Totals],[SEP]] + tblTransportation31[[#Totals],[SEP]] + tblEntertainment32[[#Totals],[SEP]] + tblVacations34[[#Totals],[SEP]]+ tblDues36[[#Totals],[SEP]]+ tblPersonal37[[#Totals],[SEP]])</f>
        <v>2199.23</v>
      </c>
      <c r="K96" s="8">
        <f xml:space="preserve"> SUM(tblHome29[[#Totals],[OCT]] + tblDaily30[[#Totals],[OCT]] + tblTransportation31[[#Totals],[OCT]] + tblEntertainment32[[#Totals],[OCT]] + tblVacations34[[#Totals],[OCT]]+ tblDues36[[#Totals],[OCT]]+ tblPersonal37[[#Totals],[OCT]])</f>
        <v>3200.31</v>
      </c>
      <c r="L96" s="8">
        <f xml:space="preserve"> SUM(tblHome29[[#Totals],[NOV]] + tblDaily30[[#Totals],[NOV]] + tblTransportation31[[#Totals],[NOV]] + tblEntertainment32[[#Totals],[NOV]] + tblVacations34[[#Totals],[NOV]]+ tblDues36[[#Totals],[NOV]]+ tblPersonal37[[#Totals],[NOV]])</f>
        <v>1867.72</v>
      </c>
      <c r="M96" s="8">
        <f xml:space="preserve"> SUM(tblHome29[[#Totals],[DEC]] + tblDaily30[[#Totals],[DEC]] + tblTransportation31[[#Totals],[DEC]] + tblEntertainment32[[#Totals],[DEC]] + tblVacations34[[#Totals],[DEC]]+ tblDues36[[#Totals],[DEC]]+ tblPersonal37[[#Totals],[DEC]])</f>
        <v>10</v>
      </c>
      <c r="N96" s="8">
        <f xml:space="preserve"> SUM(tblHome29[[#Totals],[YEAR]] + tblDaily30[[#Totals],[YEAR]] + tblTransportation31[[#Totals],[YEAR]] + tblEntertainment32[[#Totals],[YEAR]] + tblVacations34[[#Totals],[YEAR]]+ tblDues36[[#Totals],[YEAR]]+ tblPersonal37[[#Totals],[YEAR]])</f>
        <v>8320.1999999999989</v>
      </c>
      <c r="O96" s="9"/>
    </row>
    <row r="97" spans="1:15" ht="22" customHeight="1" x14ac:dyDescent="0.15">
      <c r="A97" s="6" t="s">
        <v>100</v>
      </c>
      <c r="B97" s="7"/>
      <c r="C97" s="8"/>
      <c r="D97" s="7"/>
      <c r="E97" s="8"/>
      <c r="F97" s="7"/>
      <c r="G97" s="8"/>
      <c r="H97" s="7"/>
      <c r="I97" s="8">
        <f>SUM(tblRecreation35[[#Totals],[AUG]])</f>
        <v>1268.3400000000001</v>
      </c>
      <c r="J97" s="8">
        <f>SUM(tblRecreation35[[#Totals],[SEP]])</f>
        <v>0</v>
      </c>
      <c r="K97" s="8">
        <f>SUM(tblRecreation35[[#Totals],[OCT]])</f>
        <v>374</v>
      </c>
      <c r="L97" s="8">
        <f>SUM(tblRecreation35[[#Totals],[NOV]])</f>
        <v>155</v>
      </c>
      <c r="M97" s="8">
        <f>SUM(tblRecreation35[[#Totals],[DEC]])</f>
        <v>0</v>
      </c>
      <c r="N97" s="8">
        <f>SUM(I97:M97)</f>
        <v>1797.3400000000001</v>
      </c>
      <c r="O97" s="9"/>
    </row>
    <row r="100" spans="1:15" ht="22" customHeight="1" x14ac:dyDescent="0.15">
      <c r="A100" s="38" t="s">
        <v>101</v>
      </c>
      <c r="I100" s="11">
        <f>I92</f>
        <v>60143.03</v>
      </c>
    </row>
  </sheetData>
  <printOptions horizontalCentered="1"/>
  <pageMargins left="0.25" right="0.25" top="0.75" bottom="0.75" header="0.3" footer="0.3"/>
  <pageSetup fitToHeight="0" orientation="landscape"/>
  <headerFooter differentFirst="1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719CEF2B-4203-43D4-8023-08CB238669CA}">
          <x14:colorSeries theme="0"/>
          <x14:colorNegative theme="6"/>
          <x14:colorAxis rgb="FF000000"/>
          <x14:colorMarkers theme="0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'2025'!B95:M95</xm:f>
              <xm:sqref>O95</xm:sqref>
            </x14:sparkline>
            <x14:sparkline>
              <xm:f>'2025'!B96:M96</xm:f>
              <xm:sqref>O96</xm:sqref>
            </x14:sparkline>
            <x14:sparkline>
              <xm:f>'2025'!B97:M97</xm:f>
              <xm:sqref>O97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C06B-9B24-4D76-A9F8-2E9F20DDF090}">
  <sheetPr codeName="Sheet1"/>
  <dimension ref="A23:F40"/>
  <sheetViews>
    <sheetView workbookViewId="0">
      <selection activeCell="M44" sqref="M44"/>
    </sheetView>
  </sheetViews>
  <sheetFormatPr baseColWidth="10" defaultColWidth="8.83203125" defaultRowHeight="13" x14ac:dyDescent="0.15"/>
  <cols>
    <col min="1" max="1" width="17.1640625" customWidth="1"/>
    <col min="2" max="2" width="21.33203125" customWidth="1"/>
    <col min="3" max="3" width="15" customWidth="1"/>
    <col min="4" max="4" width="17.83203125" customWidth="1"/>
    <col min="6" max="6" width="14.6640625" customWidth="1"/>
    <col min="7" max="7" width="16.6640625" customWidth="1"/>
    <col min="8" max="8" width="17.6640625" customWidth="1"/>
    <col min="9" max="9" width="12.1640625" customWidth="1"/>
    <col min="10" max="10" width="15.6640625" customWidth="1"/>
  </cols>
  <sheetData>
    <row r="23" spans="1:6" x14ac:dyDescent="0.1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</row>
    <row r="24" spans="1:6" x14ac:dyDescent="0.15">
      <c r="A24" t="s">
        <v>6</v>
      </c>
      <c r="B24" s="39">
        <f>SUM(tblHome29[AUG])</f>
        <v>494.95000000000005</v>
      </c>
      <c r="C24" s="39">
        <f>SUM(tblHome29[SEP])</f>
        <v>1135</v>
      </c>
      <c r="D24" s="39">
        <f>SUM(tblHome29[OCT])</f>
        <v>579</v>
      </c>
      <c r="E24" s="39">
        <f>SUM(tblHome29[NOV])</f>
        <v>606.66999999999996</v>
      </c>
      <c r="F24" s="39">
        <f>SUM(tblHome29[DEC])</f>
        <v>0</v>
      </c>
    </row>
    <row r="25" spans="1:6" x14ac:dyDescent="0.15">
      <c r="A25" t="s">
        <v>7</v>
      </c>
      <c r="B25">
        <f>SUM(tblDaily30[AUG])</f>
        <v>193.69</v>
      </c>
      <c r="C25">
        <f>SUM(tblDaily30[SEP])</f>
        <v>128.6</v>
      </c>
      <c r="D25">
        <f>SUM(tblDaily30[OCT])</f>
        <v>133.26</v>
      </c>
      <c r="E25">
        <f>SUM(tblDaily30[NOV])</f>
        <v>31.2</v>
      </c>
      <c r="F25">
        <f>SUM(tblDaily30[DEC])</f>
        <v>0</v>
      </c>
    </row>
    <row r="26" spans="1:6" ht="14" x14ac:dyDescent="0.15">
      <c r="A26" s="41" t="s">
        <v>8</v>
      </c>
      <c r="B26" s="39">
        <f>SUM(tblTransportation31[AUG])</f>
        <v>116.25</v>
      </c>
      <c r="C26" s="39">
        <f>SUM(tblTransportation31[SEP])</f>
        <v>281.95</v>
      </c>
      <c r="D26" s="39">
        <f>SUM(tblTransportation31[OCT])</f>
        <v>0</v>
      </c>
      <c r="E26" s="39">
        <f>SUM(tblTransportation31[NOV])</f>
        <v>32</v>
      </c>
      <c r="F26" s="39">
        <f>SUM(tblTransportation31[DEC])</f>
        <v>0</v>
      </c>
    </row>
    <row r="27" spans="1:6" x14ac:dyDescent="0.15">
      <c r="A27" t="s">
        <v>9</v>
      </c>
      <c r="B27" s="39">
        <f>SUM(tblEntertainment32[AUG])</f>
        <v>95.25</v>
      </c>
      <c r="C27" s="39">
        <f>SUM(tblEntertainment32[SEP])</f>
        <v>564</v>
      </c>
      <c r="D27" s="39">
        <f>SUM(tblEntertainment32[OCT])</f>
        <v>1741</v>
      </c>
      <c r="E27" s="39">
        <f>SUM(tblEntertainment32[NOV])</f>
        <v>944</v>
      </c>
      <c r="F27" s="39">
        <f>SUM(tblEntertainment32[DEC])</f>
        <v>0</v>
      </c>
    </row>
    <row r="28" spans="1:6" x14ac:dyDescent="0.15">
      <c r="A28" t="s">
        <v>10</v>
      </c>
      <c r="B28" s="39">
        <f>SUM(tblVacations34[AUG])</f>
        <v>106.49</v>
      </c>
      <c r="C28" s="39">
        <f>SUM(tblVacations34[SEP])</f>
        <v>37.520000000000003</v>
      </c>
      <c r="D28" s="39">
        <f>SUM(tblVacations34[OCT])</f>
        <v>612.49</v>
      </c>
      <c r="E28" s="39">
        <f>SUM(tblVacations34[NOV])</f>
        <v>226.92000000000002</v>
      </c>
      <c r="F28" s="39">
        <f>SUM(tblVacations34[DEC])</f>
        <v>0</v>
      </c>
    </row>
    <row r="29" spans="1:6" x14ac:dyDescent="0.15">
      <c r="A29" t="s">
        <v>11</v>
      </c>
      <c r="B29" s="39">
        <f>SUM(tblRecreation35[AUG])</f>
        <v>1268.3400000000001</v>
      </c>
      <c r="C29" s="39">
        <f>SUM(tblRecreation35[SEP])</f>
        <v>0</v>
      </c>
      <c r="D29" s="39">
        <f>SUM(tblRecreation35[OCT])</f>
        <v>374</v>
      </c>
      <c r="E29" s="39">
        <f>SUM(tblRecreation35[NOV])</f>
        <v>155</v>
      </c>
      <c r="F29" s="39">
        <f>SUM(tblRecreation35[DEC])</f>
        <v>0</v>
      </c>
    </row>
    <row r="30" spans="1:6" ht="14" x14ac:dyDescent="0.15">
      <c r="A30" s="41" t="s">
        <v>12</v>
      </c>
      <c r="B30" s="39">
        <f>SUM(tblDues36[AUG])</f>
        <v>23.32</v>
      </c>
      <c r="C30" s="39">
        <f>SUM(tblDues36[SEP])</f>
        <v>52.160000000000004</v>
      </c>
      <c r="D30" s="39">
        <f>SUM(tblDues36[OCT])</f>
        <v>62.92</v>
      </c>
      <c r="E30" s="39">
        <f>SUM(tblDues36[NOV])</f>
        <v>12.99</v>
      </c>
      <c r="F30" s="39">
        <f>SUM(tblDues36[DEC])</f>
        <v>10</v>
      </c>
    </row>
    <row r="31" spans="1:6" x14ac:dyDescent="0.15">
      <c r="A31" t="s">
        <v>13</v>
      </c>
      <c r="B31" s="39">
        <f>SUM(tblPersonal37[AUG])</f>
        <v>12.99</v>
      </c>
      <c r="C31" s="39">
        <f>SUM(tblPersonal37[SEP])</f>
        <v>0</v>
      </c>
      <c r="D31" s="39">
        <f>SUM(tblPersonal37[OCT])</f>
        <v>71.64</v>
      </c>
      <c r="E31" s="39">
        <f>SUM(tblPersonal37[NOV])</f>
        <v>13.94</v>
      </c>
      <c r="F31" s="39">
        <f>SUM(tblPersonal37[DEC])</f>
        <v>0</v>
      </c>
    </row>
    <row r="32" spans="1:6" x14ac:dyDescent="0.15">
      <c r="A32" t="s">
        <v>14</v>
      </c>
      <c r="B32" s="39">
        <f>SUM(tblFinancial38[AUG])</f>
        <v>3838.61</v>
      </c>
      <c r="C32" s="39">
        <f>SUM(tblFinancial38[SEP])</f>
        <v>4950</v>
      </c>
      <c r="D32" s="39">
        <f>SUM(tblFinancial38[OCT])</f>
        <v>2964.72</v>
      </c>
      <c r="E32" s="39">
        <f>SUM(tblFinancial38[NOV])</f>
        <v>1493.47</v>
      </c>
      <c r="F32" s="39">
        <f>SUM(tblFinancial38[DEC])</f>
        <v>0</v>
      </c>
    </row>
    <row r="35" spans="1:3" x14ac:dyDescent="0.15">
      <c r="A35" t="s">
        <v>126</v>
      </c>
      <c r="B35" t="s">
        <v>127</v>
      </c>
      <c r="C35" t="s">
        <v>128</v>
      </c>
    </row>
    <row r="36" spans="1:3" x14ac:dyDescent="0.15">
      <c r="A36" t="s">
        <v>1</v>
      </c>
      <c r="B36">
        <f>SUM(B23:B31)</f>
        <v>2311.2800000000002</v>
      </c>
      <c r="C36" s="39">
        <f>B32</f>
        <v>3838.61</v>
      </c>
    </row>
    <row r="37" spans="1:3" x14ac:dyDescent="0.15">
      <c r="A37" t="s">
        <v>2</v>
      </c>
      <c r="B37">
        <f>SUM(C23:C31)</f>
        <v>2199.23</v>
      </c>
      <c r="C37" s="39">
        <f>C32</f>
        <v>4950</v>
      </c>
    </row>
    <row r="38" spans="1:3" x14ac:dyDescent="0.15">
      <c r="A38" s="123" t="s">
        <v>129</v>
      </c>
      <c r="B38" s="123">
        <f>SUM(D23:D31)</f>
        <v>3574.31</v>
      </c>
      <c r="C38" s="124">
        <f>D32</f>
        <v>2964.72</v>
      </c>
    </row>
    <row r="39" spans="1:3" x14ac:dyDescent="0.15">
      <c r="A39" t="s">
        <v>4</v>
      </c>
      <c r="B39">
        <f>SUM(E23:E31)</f>
        <v>2022.72</v>
      </c>
      <c r="C39" s="39">
        <f>E32</f>
        <v>1493.47</v>
      </c>
    </row>
    <row r="40" spans="1:3" x14ac:dyDescent="0.15">
      <c r="A40" t="s">
        <v>5</v>
      </c>
      <c r="B40">
        <f>SUM(F23:F31)</f>
        <v>10</v>
      </c>
      <c r="C40" s="39">
        <f>F32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50A2-8C4B-49DF-8CB1-33236C27CDB8}">
  <sheetPr codeName="Sheet4"/>
  <dimension ref="A1:F7"/>
  <sheetViews>
    <sheetView workbookViewId="0">
      <selection activeCell="H5" sqref="H5"/>
    </sheetView>
  </sheetViews>
  <sheetFormatPr baseColWidth="10" defaultColWidth="8.83203125" defaultRowHeight="13" x14ac:dyDescent="0.15"/>
  <cols>
    <col min="2" max="2" width="22.6640625" customWidth="1"/>
  </cols>
  <sheetData>
    <row r="1" spans="1:6" ht="38" x14ac:dyDescent="0.4">
      <c r="A1" s="141" t="s">
        <v>102</v>
      </c>
      <c r="B1" s="141"/>
      <c r="C1" s="142"/>
      <c r="D1" s="143"/>
      <c r="E1" s="143"/>
      <c r="F1" s="143"/>
    </row>
    <row r="2" spans="1:6" ht="76" x14ac:dyDescent="0.2">
      <c r="A2" s="42" t="s">
        <v>103</v>
      </c>
      <c r="B2" s="43"/>
      <c r="C2" s="44"/>
      <c r="D2" s="44"/>
      <c r="E2" s="45"/>
      <c r="F2" s="46" t="s">
        <v>104</v>
      </c>
    </row>
    <row r="3" spans="1:6" ht="23" x14ac:dyDescent="0.25">
      <c r="A3" s="47">
        <v>5738</v>
      </c>
      <c r="B3" s="48"/>
      <c r="C3" s="49"/>
      <c r="D3" s="49"/>
      <c r="E3" s="50"/>
      <c r="F3" s="51">
        <f>Savings</f>
        <v>2577</v>
      </c>
    </row>
    <row r="4" spans="1:6" ht="23" x14ac:dyDescent="0.25">
      <c r="A4" s="52"/>
      <c r="B4" s="44"/>
      <c r="C4" s="44"/>
      <c r="D4" s="44"/>
      <c r="E4" s="45"/>
      <c r="F4" s="53"/>
    </row>
    <row r="5" spans="1:6" ht="70" x14ac:dyDescent="0.2">
      <c r="A5" s="45"/>
      <c r="B5" s="44"/>
      <c r="C5" s="44"/>
      <c r="D5" s="44"/>
      <c r="E5" s="45"/>
      <c r="F5" s="54" t="s">
        <v>105</v>
      </c>
    </row>
    <row r="6" spans="1:6" ht="16" x14ac:dyDescent="0.2">
      <c r="A6" s="45"/>
      <c r="B6" s="44"/>
      <c r="C6" s="44"/>
      <c r="D6" s="44"/>
      <c r="E6" s="45"/>
      <c r="F6" s="55"/>
    </row>
    <row r="7" spans="1:6" ht="16" x14ac:dyDescent="0.2">
      <c r="A7" s="45"/>
      <c r="B7" s="44"/>
      <c r="C7" s="44"/>
      <c r="D7" s="44"/>
      <c r="E7" s="45"/>
      <c r="F7" s="45"/>
    </row>
  </sheetData>
  <mergeCells count="2">
    <mergeCell ref="A1:B1"/>
    <mergeCell ref="C1:F1"/>
  </mergeCells>
  <conditionalFormatting sqref="F3:F4">
    <cfRule type="expression" dxfId="32" priority="1">
      <formula>F3&lt;=0</formula>
    </cfRule>
    <cfRule type="expression" dxfId="31" priority="2">
      <formula>F3&gt;0</formula>
    </cfRule>
  </conditionalFormatting>
  <dataValidations count="1">
    <dataValidation allowBlank="1" showInputMessage="1" showErrorMessage="1" prompt="Doughnut chart showing expenses and savings proportion is in this cell." sqref="B2" xr:uid="{4A05D8B0-8720-4389-ADD2-772ED61CA089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162-EC27-4C8C-8E75-EB7366B2BCE6}">
  <sheetPr codeName="Sheet5">
    <tabColor theme="0"/>
    <pageSetUpPr fitToPage="1"/>
  </sheetPr>
  <dimension ref="A1:U38"/>
  <sheetViews>
    <sheetView showGridLines="0" topLeftCell="N1" zoomScaleNormal="100" workbookViewId="0">
      <selection activeCell="R2" sqref="R2"/>
    </sheetView>
  </sheetViews>
  <sheetFormatPr baseColWidth="10" defaultColWidth="8" defaultRowHeight="14" x14ac:dyDescent="0.15"/>
  <cols>
    <col min="1" max="1" width="2.6640625" style="56" customWidth="1"/>
    <col min="2" max="2" width="2.5" style="56" customWidth="1"/>
    <col min="3" max="3" width="3.33203125" style="56" customWidth="1"/>
    <col min="4" max="4" width="14.83203125" style="56" customWidth="1"/>
    <col min="5" max="5" width="24.83203125" style="56" customWidth="1"/>
    <col min="6" max="6" width="20" style="56" customWidth="1"/>
    <col min="7" max="7" width="3.33203125" style="58" customWidth="1"/>
    <col min="8" max="8" width="25.1640625" style="56" customWidth="1"/>
    <col min="9" max="9" width="13" style="56" customWidth="1"/>
    <col min="10" max="10" width="9.5" style="56" customWidth="1"/>
    <col min="11" max="11" width="3.33203125" style="58" customWidth="1"/>
    <col min="12" max="12" width="9" style="59"/>
    <col min="13" max="13" width="19.5" style="89" customWidth="1"/>
    <col min="14" max="14" width="10.6640625" style="89" customWidth="1"/>
    <col min="15" max="15" width="8.1640625" style="89" customWidth="1"/>
    <col min="16" max="16" width="9" style="61"/>
    <col min="17" max="17" width="19.5" style="61" customWidth="1"/>
    <col min="18" max="18" width="10.6640625" style="61" customWidth="1"/>
    <col min="19" max="19" width="9" style="61"/>
    <col min="20" max="20" width="19.5" style="61" customWidth="1"/>
    <col min="21" max="21" width="10.6640625" style="61" customWidth="1"/>
    <col min="22" max="16384" width="8" style="56"/>
  </cols>
  <sheetData>
    <row r="1" spans="1:21" ht="18" customHeight="1" x14ac:dyDescent="0.15">
      <c r="B1" s="57"/>
      <c r="C1" s="144"/>
      <c r="D1" s="144"/>
      <c r="E1" s="144"/>
      <c r="F1" s="144"/>
      <c r="G1" s="144"/>
      <c r="H1" s="144"/>
      <c r="I1" s="144"/>
      <c r="J1" s="144"/>
      <c r="M1" s="60" t="s">
        <v>106</v>
      </c>
      <c r="N1" s="60" t="e">
        <f>SUMIF(#REF!,'[2]Personal net worth'!M1,#REF!)+ROW(M1)/10000</f>
        <v>#REF!</v>
      </c>
      <c r="O1" s="60" t="e">
        <f>_xlfn.RANK.EQ(N1,$N$1:$N$5,0)</f>
        <v>#REF!</v>
      </c>
      <c r="Q1" s="60" t="e">
        <f>INDEX($M$1:$N$5,MATCH(5,$O$1:$O$5,0),1)</f>
        <v>#N/A</v>
      </c>
      <c r="R1" s="60" t="e">
        <f>ROUND(INDEX($M$1:$N$5,MATCH(5,$O$1:$O$5,0),2),2)</f>
        <v>#N/A</v>
      </c>
      <c r="T1" s="62" t="s">
        <v>107</v>
      </c>
      <c r="U1" s="60" t="e">
        <f>SUM(#REF!)</f>
        <v>#REF!</v>
      </c>
    </row>
    <row r="2" spans="1:21" s="70" customFormat="1" ht="8" customHeight="1" x14ac:dyDescent="0.3">
      <c r="A2" s="63"/>
      <c r="B2" s="64"/>
      <c r="C2" s="65"/>
      <c r="D2" s="66"/>
      <c r="E2" s="66"/>
      <c r="F2" s="67"/>
      <c r="G2" s="65"/>
      <c r="H2" s="67"/>
      <c r="I2" s="67"/>
      <c r="J2" s="67"/>
      <c r="K2" s="68"/>
      <c r="L2" s="69"/>
      <c r="M2" s="60" t="s">
        <v>108</v>
      </c>
      <c r="N2" s="60" t="e">
        <f>SUMIF(#REF!,'[2]Personal net worth'!M2,#REF!)+ROW(M2)/10000</f>
        <v>#REF!</v>
      </c>
      <c r="O2" s="60" t="e">
        <f>_xlfn.RANK.EQ(N2,$N$1:$N$5,0)</f>
        <v>#REF!</v>
      </c>
      <c r="P2" s="61"/>
      <c r="Q2" s="60" t="e">
        <f>INDEX($M$1:$N$5,MATCH(4,$O$1:$O$5,0),1)</f>
        <v>#N/A</v>
      </c>
      <c r="R2" s="60" t="e">
        <f>ROUND(INDEX($M$1:$N$5,MATCH(4,$O$1:$O$5,0),2),2)</f>
        <v>#N/A</v>
      </c>
      <c r="S2" s="61"/>
      <c r="T2" s="62" t="s">
        <v>109</v>
      </c>
      <c r="U2" s="60" t="e">
        <f>SUM(#REF!)</f>
        <v>#REF!</v>
      </c>
    </row>
    <row r="3" spans="1:21" s="70" customFormat="1" ht="48" customHeight="1" x14ac:dyDescent="0.35">
      <c r="B3" s="71"/>
      <c r="C3" s="145" t="s">
        <v>110</v>
      </c>
      <c r="D3" s="145"/>
      <c r="E3" s="145"/>
      <c r="F3" s="71"/>
      <c r="G3" s="72" t="s">
        <v>111</v>
      </c>
      <c r="H3" s="73"/>
      <c r="I3" s="74"/>
      <c r="J3" s="74"/>
      <c r="K3" s="63"/>
      <c r="L3" s="69"/>
      <c r="M3" s="60" t="s">
        <v>112</v>
      </c>
      <c r="N3" s="60" t="e">
        <f>SUMIF(#REF!,'[2]Personal net worth'!M3,#REF!)+ROW(M3)/10000</f>
        <v>#REF!</v>
      </c>
      <c r="O3" s="60" t="e">
        <f>_xlfn.RANK.EQ(N3,$N$1:$N$5,0)</f>
        <v>#REF!</v>
      </c>
      <c r="P3" s="61"/>
      <c r="Q3" s="60" t="e">
        <f>INDEX($M$1:$N$5,MATCH(3,$O$1:$O$5,0),1)</f>
        <v>#N/A</v>
      </c>
      <c r="R3" s="60" t="e">
        <f>ROUND(INDEX($M$1:$N$5,MATCH(3,$O$1:$O$5,0),2),2)</f>
        <v>#N/A</v>
      </c>
      <c r="S3" s="61"/>
      <c r="T3" s="75"/>
      <c r="U3" s="75"/>
    </row>
    <row r="4" spans="1:21" ht="75" customHeight="1" x14ac:dyDescent="0.15">
      <c r="B4" s="76"/>
      <c r="C4" s="146" t="e">
        <f>E5-E7</f>
        <v>#REF!</v>
      </c>
      <c r="D4" s="146"/>
      <c r="E4" s="146"/>
      <c r="F4" s="77"/>
      <c r="G4" s="76"/>
      <c r="H4" s="76"/>
      <c r="I4" s="76"/>
      <c r="J4" s="76"/>
      <c r="M4" s="60" t="s">
        <v>113</v>
      </c>
      <c r="N4" s="60" t="e">
        <f>SUMIF(#REF!,'[2]Personal net worth'!M4,#REF!)+ROW(M4)/10000</f>
        <v>#REF!</v>
      </c>
      <c r="O4" s="60" t="e">
        <f>_xlfn.RANK.EQ(N4,$N$1:$N$5,0)</f>
        <v>#REF!</v>
      </c>
      <c r="Q4" s="60" t="e">
        <f>INDEX($M$1:$N$5,MATCH(2,$O$1:$O$5,0),1)</f>
        <v>#N/A</v>
      </c>
      <c r="R4" s="60" t="e">
        <f>ROUND(INDEX($M$1:$N$5,MATCH(2,$O$1:$O$5,0),2),2)</f>
        <v>#N/A</v>
      </c>
    </row>
    <row r="5" spans="1:21" s="78" customFormat="1" ht="23" customHeight="1" x14ac:dyDescent="0.15">
      <c r="B5" s="79"/>
      <c r="C5" s="80"/>
      <c r="D5" s="81" t="s">
        <v>114</v>
      </c>
      <c r="E5" s="82" t="e">
        <f>SUM(#REF!)</f>
        <v>#REF!</v>
      </c>
      <c r="F5" s="77"/>
      <c r="G5" s="79"/>
      <c r="H5" s="79"/>
      <c r="I5" s="79"/>
      <c r="J5" s="79"/>
      <c r="L5" s="83"/>
      <c r="M5" s="60" t="s">
        <v>115</v>
      </c>
      <c r="N5" s="60" t="e">
        <f>SUMIF(#REF!,'[2]Personal net worth'!M5,#REF!)+ROW(M5)/10000</f>
        <v>#REF!</v>
      </c>
      <c r="O5" s="60" t="e">
        <f>_xlfn.RANK.EQ(N5,$N$1:$N$5,0)</f>
        <v>#REF!</v>
      </c>
      <c r="P5" s="61"/>
      <c r="Q5" s="60" t="e">
        <f>INDEX($M$1:$N$5,MATCH(1,$O$1:$O$5,0),1)</f>
        <v>#N/A</v>
      </c>
      <c r="R5" s="60" t="e">
        <f>ROUND(INDEX($M$1:$N$5,MATCH(1,$O$1:$O$5,0),2),2)</f>
        <v>#N/A</v>
      </c>
      <c r="S5" s="61"/>
      <c r="T5" s="61"/>
      <c r="U5" s="61"/>
    </row>
    <row r="6" spans="1:21" s="78" customFormat="1" ht="12" customHeight="1" x14ac:dyDescent="0.15">
      <c r="B6" s="79"/>
      <c r="C6" s="84"/>
      <c r="D6" s="81"/>
      <c r="E6" s="85"/>
      <c r="F6" s="79"/>
      <c r="G6" s="84"/>
      <c r="H6" s="79"/>
      <c r="I6" s="79"/>
      <c r="J6" s="79"/>
      <c r="K6" s="86"/>
      <c r="L6" s="83"/>
      <c r="M6" s="61"/>
      <c r="N6" s="61"/>
      <c r="O6" s="61"/>
      <c r="P6" s="61"/>
      <c r="Q6" s="61"/>
      <c r="R6" s="61"/>
      <c r="S6" s="61"/>
      <c r="T6" s="61"/>
      <c r="U6" s="61"/>
    </row>
    <row r="7" spans="1:21" ht="23" customHeight="1" x14ac:dyDescent="0.15">
      <c r="B7" s="76"/>
      <c r="C7" s="87"/>
      <c r="D7" s="81" t="s">
        <v>116</v>
      </c>
      <c r="E7" s="82" t="e">
        <f>SUM(#REF!)</f>
        <v>#REF!</v>
      </c>
      <c r="F7" s="79"/>
      <c r="G7" s="76"/>
      <c r="H7" s="76"/>
      <c r="I7" s="76"/>
      <c r="J7" s="76"/>
      <c r="K7" s="88"/>
    </row>
    <row r="8" spans="1:21" ht="32" customHeight="1" x14ac:dyDescent="0.15">
      <c r="B8" s="76"/>
      <c r="C8" s="76"/>
      <c r="D8" s="76"/>
      <c r="E8" s="76"/>
      <c r="F8" s="76"/>
      <c r="G8" s="76"/>
      <c r="H8" s="76"/>
      <c r="I8" s="76"/>
      <c r="J8" s="76"/>
    </row>
    <row r="9" spans="1:21" s="90" customFormat="1" ht="57" customHeight="1" x14ac:dyDescent="0.35">
      <c r="B9" s="91"/>
      <c r="C9" s="147" t="s">
        <v>117</v>
      </c>
      <c r="D9" s="147"/>
      <c r="E9" s="147"/>
      <c r="F9" s="91"/>
      <c r="G9" s="92"/>
      <c r="H9" s="91"/>
      <c r="I9" s="91"/>
      <c r="J9" s="93"/>
      <c r="K9" s="94"/>
      <c r="L9" s="95"/>
      <c r="Q9" s="96"/>
      <c r="R9" s="96"/>
      <c r="S9" s="96"/>
      <c r="T9" s="96"/>
      <c r="U9" s="96"/>
    </row>
    <row r="10" spans="1:21" s="90" customFormat="1" ht="12" customHeight="1" x14ac:dyDescent="0.15">
      <c r="B10" s="97"/>
      <c r="C10" s="97"/>
      <c r="D10" s="97"/>
      <c r="E10" s="97"/>
      <c r="F10" s="97"/>
      <c r="G10" s="97"/>
      <c r="H10" s="98"/>
      <c r="I10" s="99"/>
      <c r="J10" s="100"/>
      <c r="K10" s="101"/>
      <c r="L10" s="95"/>
      <c r="Q10" s="96"/>
      <c r="R10" s="96"/>
      <c r="S10" s="96"/>
      <c r="T10" s="96"/>
      <c r="U10" s="96"/>
    </row>
    <row r="11" spans="1:21" s="90" customFormat="1" ht="23" customHeight="1" x14ac:dyDescent="0.15">
      <c r="B11" s="97"/>
      <c r="C11" s="102"/>
      <c r="D11" s="97"/>
      <c r="E11" s="97"/>
      <c r="F11" s="97"/>
      <c r="G11" s="103"/>
      <c r="H11" s="104" t="e">
        <f>Q5</f>
        <v>#N/A</v>
      </c>
      <c r="I11" s="105" t="e">
        <f>R5</f>
        <v>#N/A</v>
      </c>
      <c r="J11" s="100"/>
      <c r="K11" s="106"/>
      <c r="L11" s="95"/>
      <c r="M11" s="96"/>
      <c r="N11" s="96"/>
      <c r="O11" s="89"/>
      <c r="P11" s="96"/>
      <c r="Q11" s="96"/>
      <c r="R11" s="96"/>
      <c r="S11" s="96"/>
      <c r="T11" s="96"/>
      <c r="U11" s="96"/>
    </row>
    <row r="12" spans="1:21" s="90" customFormat="1" ht="12" customHeight="1" x14ac:dyDescent="0.15">
      <c r="B12" s="97"/>
      <c r="C12" s="97"/>
      <c r="D12" s="97"/>
      <c r="E12" s="97"/>
      <c r="F12" s="97"/>
      <c r="G12" s="97"/>
      <c r="H12" s="104"/>
      <c r="I12" s="105"/>
      <c r="J12" s="100"/>
      <c r="K12" s="101"/>
      <c r="L12" s="95"/>
      <c r="M12" s="96"/>
      <c r="N12" s="96"/>
      <c r="O12" s="89"/>
      <c r="P12" s="96"/>
      <c r="Q12" s="96"/>
      <c r="R12" s="96"/>
      <c r="S12" s="96"/>
      <c r="T12" s="96"/>
      <c r="U12" s="96"/>
    </row>
    <row r="13" spans="1:21" s="90" customFormat="1" ht="23" customHeight="1" x14ac:dyDescent="0.15">
      <c r="B13" s="97"/>
      <c r="C13" s="97"/>
      <c r="D13" s="97"/>
      <c r="E13" s="97"/>
      <c r="F13" s="97"/>
      <c r="G13" s="107"/>
      <c r="H13" s="104" t="e">
        <f>Q4</f>
        <v>#N/A</v>
      </c>
      <c r="I13" s="105" t="e">
        <f>R4</f>
        <v>#N/A</v>
      </c>
      <c r="J13" s="100"/>
      <c r="K13" s="101"/>
      <c r="L13" s="95"/>
      <c r="M13" s="96"/>
      <c r="N13" s="96"/>
      <c r="O13" s="89"/>
      <c r="P13" s="96"/>
      <c r="Q13" s="96"/>
      <c r="R13" s="96"/>
      <c r="S13" s="96"/>
      <c r="T13" s="96"/>
      <c r="U13" s="96"/>
    </row>
    <row r="14" spans="1:21" s="90" customFormat="1" ht="12" customHeight="1" x14ac:dyDescent="0.15">
      <c r="B14" s="97"/>
      <c r="C14" s="108"/>
      <c r="D14" s="108"/>
      <c r="E14" s="108"/>
      <c r="F14" s="97"/>
      <c r="G14" s="108"/>
      <c r="H14" s="104"/>
      <c r="I14" s="105"/>
      <c r="J14" s="100"/>
      <c r="K14" s="86"/>
      <c r="L14" s="95"/>
      <c r="M14" s="89"/>
      <c r="N14" s="89"/>
      <c r="O14" s="89"/>
      <c r="P14" s="96"/>
      <c r="Q14" s="96"/>
      <c r="R14" s="96"/>
      <c r="S14" s="96"/>
      <c r="T14" s="96"/>
      <c r="U14" s="96"/>
    </row>
    <row r="15" spans="1:21" s="90" customFormat="1" ht="23" customHeight="1" x14ac:dyDescent="0.15">
      <c r="B15" s="97"/>
      <c r="C15" s="108"/>
      <c r="D15" s="108"/>
      <c r="E15" s="108"/>
      <c r="F15" s="97"/>
      <c r="G15" s="109"/>
      <c r="H15" s="104" t="e">
        <f>Q3</f>
        <v>#N/A</v>
      </c>
      <c r="I15" s="105" t="e">
        <f>R3</f>
        <v>#N/A</v>
      </c>
      <c r="J15" s="100"/>
      <c r="K15" s="86"/>
      <c r="L15" s="95"/>
      <c r="M15" s="89"/>
      <c r="N15" s="89"/>
      <c r="O15" s="89"/>
      <c r="P15" s="96"/>
      <c r="Q15" s="96"/>
      <c r="R15" s="96"/>
      <c r="S15" s="96"/>
      <c r="T15" s="96"/>
      <c r="U15" s="96"/>
    </row>
    <row r="16" spans="1:21" s="90" customFormat="1" ht="12" customHeight="1" x14ac:dyDescent="0.15">
      <c r="B16" s="97"/>
      <c r="C16" s="108"/>
      <c r="D16" s="108"/>
      <c r="E16" s="108"/>
      <c r="F16" s="97"/>
      <c r="G16" s="108"/>
      <c r="H16" s="104"/>
      <c r="I16" s="105"/>
      <c r="J16" s="100"/>
      <c r="K16" s="86"/>
      <c r="L16" s="95"/>
      <c r="M16" s="89"/>
      <c r="N16" s="89"/>
      <c r="O16" s="89"/>
      <c r="P16" s="96"/>
      <c r="Q16" s="96"/>
      <c r="R16" s="96"/>
      <c r="S16" s="96"/>
      <c r="T16" s="96"/>
      <c r="U16" s="96"/>
    </row>
    <row r="17" spans="2:21" s="90" customFormat="1" ht="23" customHeight="1" x14ac:dyDescent="0.15">
      <c r="B17" s="97"/>
      <c r="C17" s="108"/>
      <c r="D17" s="108"/>
      <c r="E17" s="108"/>
      <c r="F17" s="97"/>
      <c r="G17" s="110"/>
      <c r="H17" s="104" t="e">
        <f>Q2</f>
        <v>#N/A</v>
      </c>
      <c r="I17" s="105" t="e">
        <f>R2</f>
        <v>#N/A</v>
      </c>
      <c r="J17" s="100"/>
      <c r="K17" s="86"/>
      <c r="L17" s="95"/>
      <c r="M17" s="89"/>
      <c r="N17" s="89"/>
      <c r="O17" s="89"/>
      <c r="P17" s="96"/>
      <c r="Q17" s="96"/>
      <c r="R17" s="96"/>
      <c r="S17" s="96"/>
      <c r="T17" s="96"/>
      <c r="U17" s="96"/>
    </row>
    <row r="18" spans="2:21" s="90" customFormat="1" ht="12" customHeight="1" x14ac:dyDescent="0.15">
      <c r="B18" s="97"/>
      <c r="C18" s="108"/>
      <c r="D18" s="108"/>
      <c r="E18" s="108"/>
      <c r="F18" s="97"/>
      <c r="G18" s="108"/>
      <c r="H18" s="104"/>
      <c r="I18" s="105"/>
      <c r="J18" s="100"/>
      <c r="K18" s="86"/>
      <c r="L18" s="95"/>
      <c r="M18" s="89"/>
      <c r="N18" s="89"/>
      <c r="O18" s="89"/>
      <c r="P18" s="96"/>
      <c r="Q18" s="96"/>
      <c r="R18" s="96"/>
      <c r="S18" s="96"/>
      <c r="T18" s="96"/>
      <c r="U18" s="96"/>
    </row>
    <row r="19" spans="2:21" ht="23" customHeight="1" x14ac:dyDescent="0.15">
      <c r="B19" s="111"/>
      <c r="C19" s="108"/>
      <c r="D19" s="108"/>
      <c r="E19" s="108"/>
      <c r="F19" s="97"/>
      <c r="G19" s="112"/>
      <c r="H19" s="104" t="e">
        <f>Q1</f>
        <v>#N/A</v>
      </c>
      <c r="I19" s="105" t="e">
        <f>R1</f>
        <v>#N/A</v>
      </c>
      <c r="J19" s="111"/>
      <c r="K19" s="86"/>
    </row>
    <row r="20" spans="2:21" ht="30" customHeight="1" x14ac:dyDescent="0.15">
      <c r="B20" s="111"/>
      <c r="C20" s="111"/>
      <c r="D20" s="111"/>
      <c r="E20" s="111"/>
      <c r="F20" s="111"/>
      <c r="G20" s="111"/>
      <c r="H20" s="111"/>
      <c r="I20" s="111"/>
      <c r="J20" s="111"/>
    </row>
    <row r="37" spans="3:21" s="113" customFormat="1" ht="20" x14ac:dyDescent="0.15">
      <c r="C37" s="56"/>
      <c r="D37" s="56"/>
      <c r="E37" s="56"/>
      <c r="F37" s="56"/>
      <c r="G37" s="58"/>
      <c r="H37" s="56"/>
      <c r="I37" s="56"/>
      <c r="K37" s="58"/>
      <c r="L37" s="114"/>
      <c r="M37" s="89"/>
      <c r="N37" s="89"/>
      <c r="O37" s="89"/>
      <c r="P37" s="115"/>
      <c r="Q37" s="115"/>
      <c r="R37" s="115"/>
      <c r="S37" s="115"/>
      <c r="T37" s="115"/>
      <c r="U37" s="115"/>
    </row>
    <row r="38" spans="3:21" ht="20" x14ac:dyDescent="0.15">
      <c r="C38" s="113"/>
      <c r="D38" s="113"/>
      <c r="E38" s="113"/>
      <c r="F38" s="113"/>
      <c r="G38" s="116"/>
      <c r="H38" s="113"/>
      <c r="I38" s="113"/>
      <c r="K38" s="116"/>
    </row>
  </sheetData>
  <mergeCells count="4">
    <mergeCell ref="C1:J1"/>
    <mergeCell ref="C3:E3"/>
    <mergeCell ref="C4:E4"/>
    <mergeCell ref="C9:E9"/>
  </mergeCells>
  <printOptions horizontalCentered="1" verticalCentered="1"/>
  <pageMargins left="0.5" right="0.5" top="0.3" bottom="0.3" header="0" footer="0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3EC0-3E5E-1E42-877B-FBC4B165B9E9}">
  <sheetPr codeName="Sheet6">
    <tabColor theme="4"/>
    <pageSetUpPr autoPageBreaks="0" fitToPage="1"/>
  </sheetPr>
  <dimension ref="A1:Q104"/>
  <sheetViews>
    <sheetView showGridLines="0" zoomScaleNormal="100" workbookViewId="0">
      <pane xSplit="1" topLeftCell="B1" activePane="topRight" state="frozen"/>
      <selection pane="topRight" activeCell="G17" sqref="G17"/>
    </sheetView>
  </sheetViews>
  <sheetFormatPr baseColWidth="10" defaultColWidth="8.83203125" defaultRowHeight="22" customHeight="1" x14ac:dyDescent="0.15"/>
  <cols>
    <col min="1" max="1" width="41.5" style="10" customWidth="1"/>
    <col min="2" max="7" width="15.83203125" style="11" customWidth="1"/>
    <col min="8" max="8" width="18.1640625" style="11" customWidth="1"/>
    <col min="9" max="13" width="15.83203125" style="11" customWidth="1"/>
    <col min="14" max="14" width="18.1640625" style="11" customWidth="1"/>
    <col min="15" max="15" width="25.1640625" style="10" customWidth="1"/>
    <col min="16" max="16" width="12.83203125" style="10" customWidth="1"/>
    <col min="17" max="17" width="23.83203125" style="18" customWidth="1"/>
    <col min="18" max="16384" width="8.83203125" style="18"/>
  </cols>
  <sheetData>
    <row r="1" spans="1:16" ht="20" customHeight="1" x14ac:dyDescent="0.15">
      <c r="P1" s="10" t="s">
        <v>15</v>
      </c>
    </row>
    <row r="2" spans="1:16" ht="20" customHeight="1" x14ac:dyDescent="0.15"/>
    <row r="3" spans="1:16" ht="20" customHeight="1" x14ac:dyDescent="0.15">
      <c r="B3" s="40">
        <f>SUM(tblHome29413[AUG])</f>
        <v>0</v>
      </c>
    </row>
    <row r="4" spans="1:16" ht="20" customHeight="1" x14ac:dyDescent="0.15"/>
    <row r="5" spans="1:16" ht="20" customHeight="1" x14ac:dyDescent="0.15"/>
    <row r="7" spans="1:16" s="20" customFormat="1" ht="30" customHeight="1" x14ac:dyDescent="0.15">
      <c r="A7" s="24" t="s">
        <v>16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15"/>
    </row>
    <row r="8" spans="1:16" s="5" customFormat="1" ht="30" customHeight="1" x14ac:dyDescent="0.15">
      <c r="A8" s="16" t="s">
        <v>17</v>
      </c>
      <c r="B8" s="29" t="s">
        <v>18</v>
      </c>
      <c r="C8" s="29" t="s">
        <v>19</v>
      </c>
      <c r="D8" s="29" t="s">
        <v>20</v>
      </c>
      <c r="E8" s="29" t="s">
        <v>21</v>
      </c>
      <c r="F8" s="29" t="s">
        <v>22</v>
      </c>
      <c r="G8" s="29" t="s">
        <v>23</v>
      </c>
      <c r="H8" s="29" t="s">
        <v>24</v>
      </c>
      <c r="I8" s="29" t="s">
        <v>25</v>
      </c>
      <c r="J8" s="29" t="s">
        <v>26</v>
      </c>
      <c r="K8" s="29" t="s">
        <v>3</v>
      </c>
      <c r="L8" s="29" t="s">
        <v>27</v>
      </c>
      <c r="M8" s="29" t="s">
        <v>28</v>
      </c>
      <c r="N8" s="29" t="s">
        <v>29</v>
      </c>
      <c r="O8" s="29" t="s">
        <v>30</v>
      </c>
    </row>
    <row r="9" spans="1:16" s="5" customFormat="1" ht="22.25" customHeight="1" x14ac:dyDescent="0.15">
      <c r="A9" s="12" t="s">
        <v>31</v>
      </c>
      <c r="B9" s="13">
        <v>1600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>
        <f>SUM(tblIncome28332[[#This Row],[JAN]:[DEC]])</f>
        <v>1600</v>
      </c>
      <c r="O9" s="36">
        <v>46058</v>
      </c>
    </row>
    <row r="10" spans="1:16" s="5" customFormat="1" ht="22.25" customHeight="1" x14ac:dyDescent="0.15">
      <c r="A10" s="30" t="s">
        <v>32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>
        <f>SUM(tblIncome28332[[#This Row],[JAN]:[DEC]])</f>
        <v>0</v>
      </c>
      <c r="O10" s="3"/>
    </row>
    <row r="11" spans="1:16" s="5" customFormat="1" ht="22.25" customHeight="1" x14ac:dyDescent="0.15">
      <c r="A11" s="30" t="s">
        <v>33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>
        <f>SUM(tblIncome28332[[#This Row],[JAN]:[DEC]])</f>
        <v>0</v>
      </c>
      <c r="O11" s="3"/>
    </row>
    <row r="12" spans="1:16" s="5" customFormat="1" ht="22.25" customHeight="1" x14ac:dyDescent="0.15">
      <c r="A12" s="30" t="s">
        <v>34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>
        <f>SUM(tblIncome28332[[#This Row],[JAN]:[DEC]])</f>
        <v>0</v>
      </c>
      <c r="O12" s="3"/>
    </row>
    <row r="13" spans="1:16" s="5" customFormat="1" ht="22.25" customHeight="1" x14ac:dyDescent="0.15">
      <c r="A13" s="12" t="s">
        <v>35</v>
      </c>
      <c r="B13" s="13">
        <f>SUBTOTAL(109,tblIncome28332[JAN])</f>
        <v>1600</v>
      </c>
      <c r="C13" s="13">
        <f>SUBTOTAL(109,tblIncome28332[FEB])</f>
        <v>0</v>
      </c>
      <c r="D13" s="13">
        <f>SUBTOTAL(109,tblIncome28332[MAR])</f>
        <v>0</v>
      </c>
      <c r="E13" s="13">
        <f>SUBTOTAL(109,tblIncome28332[APR])</f>
        <v>0</v>
      </c>
      <c r="F13" s="13">
        <f>SUBTOTAL(109,tblIncome28332[MAY])</f>
        <v>0</v>
      </c>
      <c r="G13" s="13">
        <f>SUBTOTAL(109,tblIncome28332[JUN])</f>
        <v>0</v>
      </c>
      <c r="H13" s="13">
        <f>SUBTOTAL(109,tblIncome28332[JUL])</f>
        <v>0</v>
      </c>
      <c r="I13" s="13">
        <f>SUBTOTAL(109,tblIncome28332[AUG])</f>
        <v>0</v>
      </c>
      <c r="J13" s="13">
        <f>SUBTOTAL(109,tblIncome28332[SEP])</f>
        <v>0</v>
      </c>
      <c r="K13" s="13">
        <f>SUBTOTAL(109,tblIncome28332[OCT])</f>
        <v>0</v>
      </c>
      <c r="L13" s="13">
        <f>SUBTOTAL(109,tblIncome28332[NOV])</f>
        <v>0</v>
      </c>
      <c r="M13" s="13">
        <f>SUBTOTAL(109,tblIncome28332[DEC])</f>
        <v>0</v>
      </c>
      <c r="N13" s="13">
        <f>SUBTOTAL(109,tblIncome28332[YEAR])</f>
        <v>1600</v>
      </c>
      <c r="O13" s="31"/>
    </row>
    <row r="14" spans="1:16" ht="22" customHeight="1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6" s="28" customFormat="1" ht="30" customHeight="1" x14ac:dyDescent="0.15">
      <c r="A15" s="24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7"/>
    </row>
    <row r="16" spans="1:16" s="5" customFormat="1" ht="30" customHeight="1" x14ac:dyDescent="0.15">
      <c r="A16" s="16" t="s">
        <v>37</v>
      </c>
      <c r="B16" s="29" t="s">
        <v>18</v>
      </c>
      <c r="C16" s="29" t="s">
        <v>19</v>
      </c>
      <c r="D16" s="29" t="s">
        <v>20</v>
      </c>
      <c r="E16" s="29" t="s">
        <v>21</v>
      </c>
      <c r="F16" s="29" t="s">
        <v>22</v>
      </c>
      <c r="G16" s="29" t="s">
        <v>23</v>
      </c>
      <c r="H16" s="29" t="s">
        <v>24</v>
      </c>
      <c r="I16" s="29" t="s">
        <v>25</v>
      </c>
      <c r="J16" s="29" t="s">
        <v>26</v>
      </c>
      <c r="K16" s="29" t="s">
        <v>3</v>
      </c>
      <c r="L16" s="29" t="s">
        <v>27</v>
      </c>
      <c r="M16" s="29" t="s">
        <v>28</v>
      </c>
      <c r="N16" s="29" t="s">
        <v>29</v>
      </c>
      <c r="O16" s="29" t="s">
        <v>30</v>
      </c>
    </row>
    <row r="17" spans="1:16" s="5" customFormat="1" ht="22.25" customHeight="1" x14ac:dyDescent="0.15">
      <c r="A17" s="12" t="s">
        <v>38</v>
      </c>
      <c r="B17" s="13">
        <v>850</v>
      </c>
      <c r="C17" s="13"/>
      <c r="D17" s="13"/>
      <c r="F17" s="13"/>
      <c r="G17" s="13"/>
      <c r="H17" s="13"/>
      <c r="I17" s="13"/>
      <c r="J17" s="13"/>
      <c r="K17" s="13"/>
      <c r="L17" s="13"/>
      <c r="M17" s="13"/>
      <c r="N17" s="13">
        <f>SUM(tblHome29413[[#This Row],[JAN]:[DEC]])</f>
        <v>850</v>
      </c>
      <c r="O17" s="37">
        <v>46058</v>
      </c>
    </row>
    <row r="18" spans="1:16" s="5" customFormat="1" ht="22.25" customHeight="1" x14ac:dyDescent="0.15">
      <c r="A18" s="12" t="s">
        <v>39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>
        <f>SUM(tblHome29413[[#This Row],[JAN]:[DEC]])</f>
        <v>0</v>
      </c>
      <c r="O18" s="30"/>
    </row>
    <row r="19" spans="1:16" s="5" customFormat="1" ht="22.25" customHeight="1" x14ac:dyDescent="0.15">
      <c r="A19" s="12" t="s">
        <v>40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>
        <f>SUM(tblHome29413[[#This Row],[JAN]:[DEC]])</f>
        <v>0</v>
      </c>
      <c r="O19" s="30"/>
    </row>
    <row r="20" spans="1:16" s="5" customFormat="1" ht="22.25" customHeight="1" x14ac:dyDescent="0.15">
      <c r="A20" s="12" t="s">
        <v>41</v>
      </c>
      <c r="B20" s="13">
        <v>109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>
        <f>SUM(tblHome29413[[#This Row],[JAN]:[DEC]])</f>
        <v>109</v>
      </c>
      <c r="O20" s="3"/>
    </row>
    <row r="21" spans="1:16" ht="22.25" customHeight="1" x14ac:dyDescent="0.15">
      <c r="A21" s="12" t="s">
        <v>35</v>
      </c>
      <c r="B21" s="13">
        <f>SUBTOTAL(109,tblHome29413[JAN])</f>
        <v>959</v>
      </c>
      <c r="C21" s="13">
        <f>SUBTOTAL(109,tblHome29413[FEB])</f>
        <v>0</v>
      </c>
      <c r="D21" s="13">
        <f>SUBTOTAL(109,tblHome29413[MAR])</f>
        <v>0</v>
      </c>
      <c r="E21" s="13">
        <f>SUBTOTAL(109,tblHome29413[APR])</f>
        <v>0</v>
      </c>
      <c r="F21" s="13">
        <f>SUBTOTAL(109,tblHome29413[MAY])</f>
        <v>0</v>
      </c>
      <c r="G21" s="13">
        <f>SUBTOTAL(109,tblHome29413[JUN])</f>
        <v>0</v>
      </c>
      <c r="H21" s="13">
        <f>SUBTOTAL(109,tblHome29413[JUL])</f>
        <v>0</v>
      </c>
      <c r="I21" s="13">
        <f>SUBTOTAL(109,tblHome29413[AUG])</f>
        <v>0</v>
      </c>
      <c r="J21" s="13">
        <f>SUBTOTAL(109,tblHome29413[SEP])</f>
        <v>0</v>
      </c>
      <c r="K21" s="13">
        <f>SUBTOTAL(109,tblHome29413[OCT])</f>
        <v>0</v>
      </c>
      <c r="L21" s="13">
        <f>SUBTOTAL(109,tblHome29413[NOV])</f>
        <v>0</v>
      </c>
      <c r="M21" s="13">
        <f>SUBTOTAL(109,tblHome29413[DEC])</f>
        <v>0</v>
      </c>
      <c r="N21" s="13">
        <f>SUBTOTAL(109,tblHome29413[YEAR])</f>
        <v>959</v>
      </c>
      <c r="O21" s="31"/>
      <c r="P21" s="18"/>
    </row>
    <row r="22" spans="1:16" s="19" customFormat="1" ht="22" customHeight="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0"/>
      <c r="P22" s="17"/>
    </row>
    <row r="23" spans="1:16" s="5" customFormat="1" ht="30" customHeight="1" x14ac:dyDescent="0.15">
      <c r="A23" s="16" t="s">
        <v>42</v>
      </c>
      <c r="B23" s="29" t="s">
        <v>18</v>
      </c>
      <c r="C23" s="29" t="s">
        <v>19</v>
      </c>
      <c r="D23" s="29" t="s">
        <v>20</v>
      </c>
      <c r="E23" s="29" t="s">
        <v>21</v>
      </c>
      <c r="F23" s="29" t="s">
        <v>22</v>
      </c>
      <c r="G23" s="29" t="s">
        <v>23</v>
      </c>
      <c r="H23" s="29" t="s">
        <v>24</v>
      </c>
      <c r="I23" s="29" t="s">
        <v>25</v>
      </c>
      <c r="J23" s="29" t="s">
        <v>26</v>
      </c>
      <c r="K23" s="29" t="s">
        <v>3</v>
      </c>
      <c r="L23" s="29" t="s">
        <v>27</v>
      </c>
      <c r="M23" s="29" t="s">
        <v>28</v>
      </c>
      <c r="N23" s="29" t="s">
        <v>29</v>
      </c>
      <c r="O23" s="32" t="s">
        <v>30</v>
      </c>
    </row>
    <row r="24" spans="1:16" s="5" customFormat="1" ht="30" customHeight="1" x14ac:dyDescent="0.15">
      <c r="A24" s="12" t="s">
        <v>43</v>
      </c>
      <c r="B24" s="31">
        <v>90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>
        <f>SUM(tblDaily30424[[#This Row],[JAN]:[DEC]])</f>
        <v>90</v>
      </c>
      <c r="O24" s="36">
        <v>46058</v>
      </c>
    </row>
    <row r="25" spans="1:16" s="5" customFormat="1" ht="22.25" customHeight="1" x14ac:dyDescent="0.15">
      <c r="A25" s="12" t="s">
        <v>44</v>
      </c>
      <c r="B25" s="13">
        <v>308</v>
      </c>
      <c r="C25" s="13">
        <v>69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>
        <f>SUM(tblDaily30424[[#This Row],[JAN]:[DEC]])</f>
        <v>377</v>
      </c>
      <c r="O25" s="3"/>
    </row>
    <row r="26" spans="1:16" s="5" customFormat="1" ht="22.25" customHeight="1" x14ac:dyDescent="0.15">
      <c r="A26" s="12" t="s">
        <v>45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>
        <f>SUM(tblDaily30424[[#This Row],[JAN]:[DEC]])</f>
        <v>0</v>
      </c>
      <c r="O26" s="3"/>
    </row>
    <row r="27" spans="1:16" s="5" customFormat="1" ht="22.25" customHeight="1" x14ac:dyDescent="0.15">
      <c r="A27" s="12" t="s">
        <v>120</v>
      </c>
      <c r="B27" s="13">
        <v>96.25</v>
      </c>
      <c r="C27" s="13">
        <v>48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>
        <f>SUM(tblDaily30424[[#This Row],[JAN]:[DEC]])</f>
        <v>144.25</v>
      </c>
      <c r="O27" s="3"/>
    </row>
    <row r="28" spans="1:16" s="19" customFormat="1" ht="22.25" customHeight="1" x14ac:dyDescent="0.15">
      <c r="A28" s="12" t="s">
        <v>35</v>
      </c>
      <c r="B28" s="13">
        <f>SUBTOTAL(109,tblDaily30424[JAN])</f>
        <v>494.25</v>
      </c>
      <c r="C28" s="13">
        <f>SUBTOTAL(109,tblDaily30424[FEB])</f>
        <v>117</v>
      </c>
      <c r="D28" s="13">
        <f>SUBTOTAL(109,tblDaily30424[MAR])</f>
        <v>0</v>
      </c>
      <c r="E28" s="13">
        <f>SUBTOTAL(109,tblDaily30424[APR])</f>
        <v>0</v>
      </c>
      <c r="F28" s="13">
        <f>SUBTOTAL(109,tblDaily30424[MAY])</f>
        <v>0</v>
      </c>
      <c r="G28" s="13">
        <f>SUBTOTAL(109,tblDaily30424[JUN])</f>
        <v>0</v>
      </c>
      <c r="H28" s="13">
        <f>SUBTOTAL(109,tblDaily30424[JUL])</f>
        <v>0</v>
      </c>
      <c r="I28" s="13">
        <f>SUBTOTAL(109,tblDaily30424[AUG])</f>
        <v>0</v>
      </c>
      <c r="J28" s="13">
        <f>SUBTOTAL(109,tblDaily30424[SEP])</f>
        <v>0</v>
      </c>
      <c r="K28" s="13">
        <f>SUBTOTAL(109,tblDaily30424[OCT])</f>
        <v>0</v>
      </c>
      <c r="L28" s="13">
        <f>SUBTOTAL(109,tblDaily30424[NOV])</f>
        <v>0</v>
      </c>
      <c r="M28" s="13">
        <f>SUBTOTAL(109,tblDaily30424[DEC])</f>
        <v>0</v>
      </c>
      <c r="N28" s="13">
        <f>SUBTOTAL(109,tblDaily30424[YEAR])</f>
        <v>611.25</v>
      </c>
      <c r="O28" s="31"/>
    </row>
    <row r="29" spans="1:16" s="5" customFormat="1" ht="22" customHeight="1" x14ac:dyDescent="0.1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</row>
    <row r="30" spans="1:16" s="5" customFormat="1" ht="30" customHeight="1" x14ac:dyDescent="0.15">
      <c r="A30" s="16" t="s">
        <v>47</v>
      </c>
      <c r="B30" s="29" t="s">
        <v>18</v>
      </c>
      <c r="C30" s="29" t="s">
        <v>19</v>
      </c>
      <c r="D30" s="29" t="s">
        <v>20</v>
      </c>
      <c r="E30" s="29" t="s">
        <v>21</v>
      </c>
      <c r="F30" s="29" t="s">
        <v>22</v>
      </c>
      <c r="G30" s="29" t="s">
        <v>23</v>
      </c>
      <c r="H30" s="29" t="s">
        <v>24</v>
      </c>
      <c r="I30" s="29" t="s">
        <v>25</v>
      </c>
      <c r="J30" s="29" t="s">
        <v>26</v>
      </c>
      <c r="K30" s="29" t="s">
        <v>3</v>
      </c>
      <c r="L30" s="29" t="s">
        <v>27</v>
      </c>
      <c r="M30" s="29" t="s">
        <v>28</v>
      </c>
      <c r="N30" s="29" t="s">
        <v>29</v>
      </c>
      <c r="O30" s="32" t="s">
        <v>30</v>
      </c>
    </row>
    <row r="31" spans="1:16" s="5" customFormat="1" ht="22.25" customHeight="1" x14ac:dyDescent="0.15">
      <c r="A31" s="12" t="s">
        <v>48</v>
      </c>
      <c r="B31" s="13">
        <v>4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>
        <f>SUM(tblTransportation31435[[#This Row],[JAN]:[DEC]])</f>
        <v>4</v>
      </c>
      <c r="O31" s="36">
        <v>46058</v>
      </c>
    </row>
    <row r="32" spans="1:16" s="5" customFormat="1" ht="22.25" customHeight="1" x14ac:dyDescent="0.15">
      <c r="A32" s="12" t="s">
        <v>49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>
        <f>SUM(tblTransportation31435[[#This Row],[JAN]:[DEC]])</f>
        <v>0</v>
      </c>
      <c r="O32" s="3"/>
    </row>
    <row r="33" spans="1:16" s="5" customFormat="1" ht="22.25" customHeight="1" x14ac:dyDescent="0.15">
      <c r="A33" s="12" t="s">
        <v>50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>
        <f>SUM(tblTransportation31435[[#This Row],[JAN]:[DEC]])</f>
        <v>0</v>
      </c>
      <c r="O33" s="3"/>
    </row>
    <row r="34" spans="1:16" s="19" customFormat="1" ht="22.25" customHeight="1" x14ac:dyDescent="0.15">
      <c r="A34" s="12" t="s">
        <v>35</v>
      </c>
      <c r="B34" s="13">
        <f>SUBTOTAL(109,tblTransportation31435[JAN])</f>
        <v>4</v>
      </c>
      <c r="C34" s="13">
        <f>SUBTOTAL(109,tblTransportation31435[FEB])</f>
        <v>0</v>
      </c>
      <c r="D34" s="13">
        <f>SUBTOTAL(109,tblTransportation31435[MAR])</f>
        <v>0</v>
      </c>
      <c r="E34" s="13">
        <f>SUBTOTAL(109,tblTransportation31435[APR])</f>
        <v>0</v>
      </c>
      <c r="F34" s="13">
        <f>SUBTOTAL(109,tblTransportation31435[MAY])</f>
        <v>0</v>
      </c>
      <c r="G34" s="13">
        <f>SUBTOTAL(109,tblTransportation31435[JUN])</f>
        <v>0</v>
      </c>
      <c r="H34" s="13">
        <f>SUBTOTAL(109,tblTransportation31435[JUL])</f>
        <v>0</v>
      </c>
      <c r="I34" s="13">
        <f>SUBTOTAL(109,tblTransportation31435[AUG])</f>
        <v>0</v>
      </c>
      <c r="J34" s="13">
        <f>SUBTOTAL(109,tblTransportation31435[SEP])</f>
        <v>0</v>
      </c>
      <c r="K34" s="13">
        <f>SUBTOTAL(109,tblTransportation31435[OCT])</f>
        <v>0</v>
      </c>
      <c r="L34" s="13">
        <f>SUBTOTAL(109,tblTransportation31435[NOV])</f>
        <v>0</v>
      </c>
      <c r="M34" s="13">
        <f>SUBTOTAL(109,tblTransportation31435[DEC])</f>
        <v>0</v>
      </c>
      <c r="N34" s="13">
        <f>SUBTOTAL(109,tblTransportation31435[YEAR])</f>
        <v>4</v>
      </c>
      <c r="O34" s="31"/>
    </row>
    <row r="35" spans="1:16" s="5" customFormat="1" ht="22" customHeight="1" x14ac:dyDescent="0.1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"/>
      <c r="P35" s="3"/>
    </row>
    <row r="36" spans="1:16" s="5" customFormat="1" ht="30" customHeight="1" x14ac:dyDescent="0.15">
      <c r="A36" s="16" t="s">
        <v>9</v>
      </c>
      <c r="B36" s="29" t="s">
        <v>18</v>
      </c>
      <c r="C36" s="29" t="s">
        <v>19</v>
      </c>
      <c r="D36" s="29" t="s">
        <v>20</v>
      </c>
      <c r="E36" s="29" t="s">
        <v>21</v>
      </c>
      <c r="F36" s="29" t="s">
        <v>22</v>
      </c>
      <c r="G36" s="29" t="s">
        <v>23</v>
      </c>
      <c r="H36" s="29" t="s">
        <v>24</v>
      </c>
      <c r="I36" s="29" t="s">
        <v>25</v>
      </c>
      <c r="J36" s="29" t="s">
        <v>26</v>
      </c>
      <c r="K36" s="29" t="s">
        <v>3</v>
      </c>
      <c r="L36" s="29" t="s">
        <v>27</v>
      </c>
      <c r="M36" s="29" t="s">
        <v>28</v>
      </c>
      <c r="N36" s="29" t="s">
        <v>29</v>
      </c>
      <c r="O36" s="32" t="s">
        <v>30</v>
      </c>
      <c r="P36" s="32" t="s">
        <v>51</v>
      </c>
    </row>
    <row r="37" spans="1:16" s="5" customFormat="1" ht="22.25" customHeight="1" x14ac:dyDescent="0.15">
      <c r="A37" s="12" t="s">
        <v>52</v>
      </c>
      <c r="B37" s="13">
        <v>48</v>
      </c>
      <c r="C37" s="13">
        <v>52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>
        <f>SUM(tblEntertainment32446[[#This Row],[JAN]:[DEC]])</f>
        <v>100</v>
      </c>
      <c r="O37" s="36">
        <v>46058</v>
      </c>
      <c r="P37" s="5">
        <v>5539</v>
      </c>
    </row>
    <row r="38" spans="1:16" s="5" customFormat="1" ht="22.25" customHeight="1" x14ac:dyDescent="0.15">
      <c r="A38" s="12" t="s">
        <v>53</v>
      </c>
      <c r="B38" s="13">
        <v>8.9499999999999993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>
        <f>SUM(tblEntertainment32446[[#This Row],[JAN]:[DEC]])</f>
        <v>8.9499999999999993</v>
      </c>
      <c r="O38" s="3"/>
      <c r="P38" s="5">
        <v>0</v>
      </c>
    </row>
    <row r="39" spans="1:16" s="5" customFormat="1" ht="22.25" customHeight="1" x14ac:dyDescent="0.15">
      <c r="A39" s="12" t="s">
        <v>55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>
        <f>SUM(tblEntertainment32446[[#This Row],[JAN]:[DEC]])</f>
        <v>0</v>
      </c>
      <c r="O39" s="3"/>
      <c r="P39" s="5">
        <v>0</v>
      </c>
    </row>
    <row r="40" spans="1:16" s="5" customFormat="1" ht="22.25" customHeight="1" x14ac:dyDescent="0.15">
      <c r="A40" s="12" t="s">
        <v>56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>
        <f>SUM(tblEntertainment32446[[#This Row],[JAN]:[DEC]])</f>
        <v>0</v>
      </c>
      <c r="O40" s="3"/>
      <c r="P40" s="5">
        <v>2123</v>
      </c>
    </row>
    <row r="41" spans="1:16" s="5" customFormat="1" ht="22.25" customHeight="1" x14ac:dyDescent="0.15">
      <c r="A41" s="12" t="s">
        <v>57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>
        <f>SUM(tblEntertainment32446[[#This Row],[JAN]:[DEC]])</f>
        <v>0</v>
      </c>
      <c r="O41" s="3"/>
      <c r="P41" s="5">
        <v>0</v>
      </c>
    </row>
    <row r="42" spans="1:16" ht="22.25" customHeight="1" x14ac:dyDescent="0.15">
      <c r="A42" s="12" t="s">
        <v>58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>
        <f>SUM(tblEntertainment32446[[#This Row],[JAN]:[DEC]])</f>
        <v>0</v>
      </c>
      <c r="O42" s="3"/>
      <c r="P42" s="5"/>
    </row>
    <row r="43" spans="1:16" s="19" customFormat="1" ht="22.25" customHeight="1" x14ac:dyDescent="0.15">
      <c r="A43" s="12" t="s">
        <v>35</v>
      </c>
      <c r="B43" s="13">
        <f>SUBTOTAL(109,tblEntertainment32446[JAN])</f>
        <v>56.95</v>
      </c>
      <c r="C43" s="13">
        <f>SUBTOTAL(109,tblEntertainment32446[FEB])</f>
        <v>52</v>
      </c>
      <c r="D43" s="13">
        <f>SUBTOTAL(109,tblEntertainment32446[MAR])</f>
        <v>0</v>
      </c>
      <c r="E43" s="13">
        <f>SUBTOTAL(109,tblEntertainment32446[APR])</f>
        <v>0</v>
      </c>
      <c r="F43" s="13">
        <f>SUBTOTAL(109,tblEntertainment32446[MAY])</f>
        <v>0</v>
      </c>
      <c r="G43" s="13">
        <f>SUBTOTAL(109,tblEntertainment32446[JUN])</f>
        <v>0</v>
      </c>
      <c r="H43" s="13">
        <f>SUBTOTAL(109,tblEntertainment32446[JUL])</f>
        <v>0</v>
      </c>
      <c r="I43" s="13">
        <f>SUBTOTAL(109,tblEntertainment32446[AUG])</f>
        <v>0</v>
      </c>
      <c r="J43" s="13">
        <f>SUBTOTAL(109,tblEntertainment32446[SEP])</f>
        <v>0</v>
      </c>
      <c r="K43" s="13">
        <f>SUBTOTAL(109,tblEntertainment32446[OCT])</f>
        <v>0</v>
      </c>
      <c r="L43" s="13">
        <f>SUBTOTAL(109,tblEntertainment32446[NOV])</f>
        <v>0</v>
      </c>
      <c r="M43" s="13">
        <f>SUBTOTAL(109,tblEntertainment32446[DEC])</f>
        <v>0</v>
      </c>
      <c r="N43" s="13">
        <f>SUBTOTAL(109,tblEntertainment32446[YEAR])</f>
        <v>108.95</v>
      </c>
      <c r="O43" s="31"/>
      <c r="P43" s="31">
        <f>SUM(tblEntertainment32446[Balance])</f>
        <v>7662</v>
      </c>
    </row>
    <row r="44" spans="1:16" s="5" customFormat="1" ht="22" customHeight="1" x14ac:dyDescent="0.1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3"/>
      <c r="P44" s="3"/>
    </row>
    <row r="45" spans="1:16" s="5" customFormat="1" ht="30" customHeight="1" x14ac:dyDescent="0.15">
      <c r="A45" s="16" t="s">
        <v>59</v>
      </c>
      <c r="B45" s="29" t="s">
        <v>18</v>
      </c>
      <c r="C45" s="29" t="s">
        <v>19</v>
      </c>
      <c r="D45" s="29" t="s">
        <v>20</v>
      </c>
      <c r="E45" s="29" t="s">
        <v>21</v>
      </c>
      <c r="F45" s="29" t="s">
        <v>22</v>
      </c>
      <c r="G45" s="29" t="s">
        <v>23</v>
      </c>
      <c r="H45" s="29" t="s">
        <v>24</v>
      </c>
      <c r="I45" s="29" t="s">
        <v>25</v>
      </c>
      <c r="J45" s="29" t="s">
        <v>26</v>
      </c>
      <c r="K45" s="29" t="s">
        <v>3</v>
      </c>
      <c r="L45" s="29" t="s">
        <v>27</v>
      </c>
      <c r="M45" s="29" t="s">
        <v>28</v>
      </c>
      <c r="N45" s="29" t="s">
        <v>29</v>
      </c>
      <c r="O45" s="32" t="s">
        <v>30</v>
      </c>
    </row>
    <row r="46" spans="1:16" s="5" customFormat="1" ht="22.25" customHeight="1" x14ac:dyDescent="0.15">
      <c r="A46" s="12" t="s">
        <v>60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>
        <f>SUM(tblVacations34457[[#This Row],[JAN]:[DEC]])</f>
        <v>0</v>
      </c>
      <c r="O46" s="36"/>
    </row>
    <row r="47" spans="1:16" s="5" customFormat="1" ht="22.25" customHeight="1" x14ac:dyDescent="0.15">
      <c r="A47" s="12" t="s">
        <v>61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>
        <f>SUM(tblVacations34457[[#This Row],[JAN]:[DEC]])</f>
        <v>0</v>
      </c>
      <c r="O47" s="120">
        <v>46058</v>
      </c>
    </row>
    <row r="48" spans="1:16" s="5" customFormat="1" ht="22.25" customHeight="1" x14ac:dyDescent="0.15">
      <c r="A48" s="12" t="s">
        <v>62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>
        <f>SUM(tblVacations34457[[#This Row],[JAN]:[DEC]])</f>
        <v>0</v>
      </c>
      <c r="O48" s="3"/>
    </row>
    <row r="49" spans="1:17" s="5" customFormat="1" ht="22.25" customHeight="1" x14ac:dyDescent="0.15">
      <c r="A49" s="12" t="s">
        <v>63</v>
      </c>
      <c r="B49" s="13">
        <v>421</v>
      </c>
      <c r="C49" s="13"/>
      <c r="D49" s="13"/>
      <c r="E49" s="13"/>
      <c r="F49" s="13"/>
      <c r="G49" s="13"/>
      <c r="H49" s="13"/>
      <c r="I49" s="13"/>
      <c r="J49" s="13"/>
      <c r="K49" s="30"/>
      <c r="L49" s="13"/>
      <c r="M49" s="13"/>
      <c r="N49" s="13">
        <f>SUM(tblVacations34457[[#This Row],[JAN]:[DEC]])</f>
        <v>421</v>
      </c>
      <c r="O49" s="3"/>
    </row>
    <row r="50" spans="1:17" ht="22.25" customHeight="1" x14ac:dyDescent="0.15">
      <c r="A50" s="12" t="s">
        <v>64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>
        <f>SUM(tblVacations34457[[#This Row],[JAN]:[DEC]])</f>
        <v>0</v>
      </c>
      <c r="O50" s="3"/>
      <c r="P50" s="18"/>
    </row>
    <row r="51" spans="1:17" s="19" customFormat="1" ht="22.25" customHeight="1" x14ac:dyDescent="0.15">
      <c r="A51" s="12" t="s">
        <v>35</v>
      </c>
      <c r="B51" s="13">
        <f>SUBTOTAL(109,tblVacations34457[JAN])</f>
        <v>421</v>
      </c>
      <c r="C51" s="13">
        <f>SUBTOTAL(109,tblVacations34457[FEB])</f>
        <v>0</v>
      </c>
      <c r="D51" s="13">
        <f>SUBTOTAL(109,tblVacations34457[MAR])</f>
        <v>0</v>
      </c>
      <c r="E51" s="13">
        <f>SUBTOTAL(109,tblVacations34457[APR])</f>
        <v>0</v>
      </c>
      <c r="F51" s="13">
        <f>SUBTOTAL(109,tblVacations34457[MAY])</f>
        <v>0</v>
      </c>
      <c r="G51" s="13">
        <f>SUBTOTAL(109,tblVacations34457[JUN])</f>
        <v>0</v>
      </c>
      <c r="H51" s="13">
        <f>SUBTOTAL(109,tblVacations34457[JUL])</f>
        <v>0</v>
      </c>
      <c r="I51" s="13">
        <f>SUM(tblVacations34457[AUG])</f>
        <v>0</v>
      </c>
      <c r="J51" s="13">
        <f>SUBTOTAL(109,tblVacations34457[SEP])</f>
        <v>0</v>
      </c>
      <c r="K51" s="13">
        <f>SUBTOTAL(109,tblVacations34457[OCT])</f>
        <v>0</v>
      </c>
      <c r="L51" s="13">
        <f>SUBTOTAL(109,tblVacations34457[NOV])</f>
        <v>0</v>
      </c>
      <c r="M51" s="13">
        <f>SUBTOTAL(109,tblVacations34457[DEC])</f>
        <v>0</v>
      </c>
      <c r="N51" s="13">
        <f>SUBTOTAL(109,tblVacations34457[YEAR])</f>
        <v>421</v>
      </c>
      <c r="O51" s="31"/>
    </row>
    <row r="52" spans="1:17" s="5" customFormat="1" ht="22" customHeight="1" x14ac:dyDescent="0.1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3"/>
      <c r="P52" s="3"/>
    </row>
    <row r="53" spans="1:17" s="5" customFormat="1" ht="30" customHeight="1" x14ac:dyDescent="0.15">
      <c r="A53" s="16" t="s">
        <v>11</v>
      </c>
      <c r="B53" s="29" t="s">
        <v>18</v>
      </c>
      <c r="C53" s="29" t="s">
        <v>19</v>
      </c>
      <c r="D53" s="29" t="s">
        <v>20</v>
      </c>
      <c r="E53" s="29" t="s">
        <v>21</v>
      </c>
      <c r="F53" s="29" t="s">
        <v>22</v>
      </c>
      <c r="G53" s="29" t="s">
        <v>23</v>
      </c>
      <c r="H53" s="29" t="s">
        <v>24</v>
      </c>
      <c r="I53" s="29" t="s">
        <v>25</v>
      </c>
      <c r="J53" s="29" t="s">
        <v>26</v>
      </c>
      <c r="K53" s="29" t="s">
        <v>3</v>
      </c>
      <c r="L53" s="29" t="s">
        <v>27</v>
      </c>
      <c r="M53" s="29" t="s">
        <v>28</v>
      </c>
      <c r="N53" s="29" t="s">
        <v>65</v>
      </c>
      <c r="O53" s="29" t="s">
        <v>66</v>
      </c>
      <c r="P53" s="29" t="s">
        <v>29</v>
      </c>
      <c r="Q53" s="32" t="s">
        <v>30</v>
      </c>
    </row>
    <row r="54" spans="1:17" s="5" customFormat="1" ht="22.25" customHeight="1" x14ac:dyDescent="0.15">
      <c r="A54" s="12" t="s">
        <v>67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>
        <f>2733+SUM(tblRecreation35468[[#This Row],[JAN]:[JUN]])</f>
        <v>2733</v>
      </c>
      <c r="P54" s="13">
        <f>SUM(tblRecreation35468[[#This Row],[JAN]:[DEC]])</f>
        <v>0</v>
      </c>
      <c r="Q54" s="36">
        <v>46058</v>
      </c>
    </row>
    <row r="55" spans="1:17" s="5" customFormat="1" ht="22.25" customHeight="1" x14ac:dyDescent="0.15">
      <c r="A55" s="12" t="s">
        <v>68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>
        <f>1381 +SUM(tblRecreation35468[[#This Row],[JAN]:[JUN]])</f>
        <v>1381</v>
      </c>
      <c r="P55" s="13">
        <f>SUM(tblRecreation35468[[#This Row],[JAN]:[DEC]])</f>
        <v>0</v>
      </c>
      <c r="Q55" s="3"/>
    </row>
    <row r="56" spans="1:17" s="5" customFormat="1" ht="22.25" customHeight="1" x14ac:dyDescent="0.15">
      <c r="A56" s="12" t="s">
        <v>69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>
        <f>3092+ SUM(tblRecreation35468[[#This Row],[JAN]:[JUN]])</f>
        <v>3092</v>
      </c>
      <c r="P56" s="13">
        <f>SUM(tblRecreation35468[[#This Row],[JAN]:[DEC]])</f>
        <v>0</v>
      </c>
      <c r="Q56" s="3"/>
    </row>
    <row r="57" spans="1:17" s="5" customFormat="1" ht="22.25" customHeight="1" x14ac:dyDescent="0.15">
      <c r="A57" s="12" t="s">
        <v>122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>
        <f>155 + SUM(tblRecreation35468[[#This Row],[JAN]:[JUN]])</f>
        <v>155</v>
      </c>
      <c r="P57" s="13">
        <f>SUM(tblRecreation35468[[#This Row],[JAN]:[DEC]])</f>
        <v>0</v>
      </c>
      <c r="Q57" s="3"/>
    </row>
    <row r="58" spans="1:17" s="5" customFormat="1" ht="22.25" customHeight="1" x14ac:dyDescent="0.15">
      <c r="A58" s="12" t="s">
        <v>121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>
        <f>155+SUM(tblRecreation35468[[#This Row],[JAN]:[JUN]])</f>
        <v>155</v>
      </c>
      <c r="P58" s="13">
        <f>SUM(tblRecreation35468[[#This Row],[JAN]:[DEC]])</f>
        <v>0</v>
      </c>
      <c r="Q58" s="3"/>
    </row>
    <row r="59" spans="1:17" s="5" customFormat="1" ht="22.25" customHeight="1" x14ac:dyDescent="0.15">
      <c r="A59" s="12" t="s">
        <v>70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>
        <f>1079+ SUM(tblRecreation35468[[#This Row],[JAN]:[JUN]])</f>
        <v>1079</v>
      </c>
      <c r="P59" s="13">
        <f>SUM(tblRecreation35468[[#This Row],[JAN]:[DEC]])</f>
        <v>0</v>
      </c>
      <c r="Q59" s="3"/>
    </row>
    <row r="60" spans="1:17" s="5" customFormat="1" ht="22.25" customHeight="1" x14ac:dyDescent="0.15">
      <c r="A60" s="12" t="s">
        <v>71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>
        <f>42+SUM(tblRecreation35468[[#This Row],[JAN]:[JUN]])</f>
        <v>42</v>
      </c>
      <c r="P60" s="13">
        <f>SUM(tblRecreation35468[[#This Row],[JAN]:[DEC]])</f>
        <v>0</v>
      </c>
      <c r="Q60" s="3"/>
    </row>
    <row r="61" spans="1:17" s="5" customFormat="1" ht="22.25" customHeight="1" x14ac:dyDescent="0.15">
      <c r="A61" s="12" t="s">
        <v>72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>
        <f>SUM(tblRecreation35468[[#This Row],[JAN]:[DEC]])</f>
        <v>0</v>
      </c>
      <c r="P61" s="13">
        <f>SUM(tblRecreation35468[[#This Row],[JAN]:[DEC]])</f>
        <v>0</v>
      </c>
      <c r="Q61" s="3"/>
    </row>
    <row r="62" spans="1:17" s="5" customFormat="1" ht="22.25" customHeight="1" x14ac:dyDescent="0.15">
      <c r="A62" s="12" t="s">
        <v>73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>
        <f>SUM(tblRecreation35468[[#This Row],[JAN]:[DEC]])</f>
        <v>0</v>
      </c>
      <c r="P62" s="13">
        <f>SUM(tblRecreation35468[[#This Row],[JAN]:[DEC]])</f>
        <v>0</v>
      </c>
      <c r="Q62" s="3"/>
    </row>
    <row r="63" spans="1:17" s="19" customFormat="1" ht="22.25" customHeight="1" x14ac:dyDescent="0.15">
      <c r="A63" s="12" t="s">
        <v>35</v>
      </c>
      <c r="B63" s="13">
        <f>SUBTOTAL(109,tblRecreation35468[JAN])</f>
        <v>0</v>
      </c>
      <c r="C63" s="13">
        <f>SUBTOTAL(109,tblRecreation35468[FEB])</f>
        <v>0</v>
      </c>
      <c r="D63" s="13">
        <f>SUBTOTAL(109,tblRecreation35468[MAR])</f>
        <v>0</v>
      </c>
      <c r="E63" s="13">
        <f>SUBTOTAL(109,tblRecreation35468[APR])</f>
        <v>0</v>
      </c>
      <c r="F63" s="13">
        <f>SUBTOTAL(109,tblRecreation35468[MAY])</f>
        <v>0</v>
      </c>
      <c r="G63" s="13">
        <f>SUBTOTAL(109,tblRecreation35468[JUN])</f>
        <v>0</v>
      </c>
      <c r="H63" s="13">
        <f>SUBTOTAL(109,tblRecreation35468[JUL])</f>
        <v>0</v>
      </c>
      <c r="I63" s="13">
        <f>SUBTOTAL(109,tblRecreation35468[AUG])</f>
        <v>0</v>
      </c>
      <c r="J63" s="13">
        <f>SUBTOTAL(109,tblRecreation35468[SEP])</f>
        <v>0</v>
      </c>
      <c r="K63" s="13">
        <f>SUBTOTAL(109,tblRecreation35468[OCT])</f>
        <v>0</v>
      </c>
      <c r="L63" s="13">
        <f>SUBTOTAL(109,tblRecreation35468[NOV])</f>
        <v>0</v>
      </c>
      <c r="M63" s="13">
        <f>SUBTOTAL(109,tblRecreation35468[DEC])</f>
        <v>0</v>
      </c>
      <c r="N63" s="13">
        <f>SUM(tblRecreation35468[Current Value])</f>
        <v>0</v>
      </c>
      <c r="O63" s="13">
        <f>SUM(tblRecreation35468[Invested Total])</f>
        <v>8637</v>
      </c>
      <c r="P63" s="13">
        <f>SUBTOTAL(109,tblRecreation35468[YEAR])</f>
        <v>0</v>
      </c>
      <c r="Q63" s="31"/>
    </row>
    <row r="64" spans="1:17" s="5" customFormat="1" ht="22" customHeight="1" x14ac:dyDescent="0.1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3"/>
      <c r="P64" s="3"/>
    </row>
    <row r="65" spans="1:16" s="5" customFormat="1" ht="30" customHeight="1" x14ac:dyDescent="0.15">
      <c r="A65" s="16" t="s">
        <v>74</v>
      </c>
      <c r="B65" s="29" t="s">
        <v>18</v>
      </c>
      <c r="C65" s="29" t="s">
        <v>19</v>
      </c>
      <c r="D65" s="29" t="s">
        <v>20</v>
      </c>
      <c r="E65" s="29" t="s">
        <v>21</v>
      </c>
      <c r="F65" s="29" t="s">
        <v>22</v>
      </c>
      <c r="G65" s="29" t="s">
        <v>23</v>
      </c>
      <c r="H65" s="29" t="s">
        <v>24</v>
      </c>
      <c r="I65" s="29" t="s">
        <v>25</v>
      </c>
      <c r="J65" s="29" t="s">
        <v>26</v>
      </c>
      <c r="K65" s="29" t="s">
        <v>3</v>
      </c>
      <c r="L65" s="29" t="s">
        <v>27</v>
      </c>
      <c r="M65" s="29" t="s">
        <v>28</v>
      </c>
      <c r="N65" s="29" t="s">
        <v>29</v>
      </c>
      <c r="O65" s="32" t="s">
        <v>30</v>
      </c>
    </row>
    <row r="66" spans="1:16" s="5" customFormat="1" ht="22.25" customHeight="1" x14ac:dyDescent="0.15">
      <c r="A66" s="12" t="s">
        <v>75</v>
      </c>
      <c r="B66" s="13">
        <v>51.54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>
        <f>SUM(tblDues36479[[#This Row],[JAN]:[DEC]])</f>
        <v>51.54</v>
      </c>
      <c r="O66" s="36">
        <v>46058</v>
      </c>
    </row>
    <row r="67" spans="1:16" s="5" customFormat="1" ht="22.25" customHeight="1" x14ac:dyDescent="0.15">
      <c r="A67" s="12" t="s">
        <v>76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>
        <f>SUM(tblDues36479[[#This Row],[JAN]:[DEC]])</f>
        <v>0</v>
      </c>
      <c r="O67" s="3"/>
    </row>
    <row r="68" spans="1:16" s="5" customFormat="1" ht="22.25" customHeight="1" x14ac:dyDescent="0.15">
      <c r="A68" s="12" t="s">
        <v>77</v>
      </c>
      <c r="B68" s="13">
        <v>2.99</v>
      </c>
      <c r="C68" s="13">
        <v>2.99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>
        <f>SUM(tblDues36479[[#This Row],[JAN]:[DEC]])</f>
        <v>5.98</v>
      </c>
      <c r="O68" s="3"/>
    </row>
    <row r="69" spans="1:16" s="19" customFormat="1" ht="22.25" customHeight="1" x14ac:dyDescent="0.15">
      <c r="A69" s="12" t="s">
        <v>35</v>
      </c>
      <c r="B69" s="13">
        <f>SUBTOTAL(109,tblDues36479[JAN])</f>
        <v>54.53</v>
      </c>
      <c r="C69" s="13">
        <f>SUBTOTAL(109,tblDues36479[FEB])</f>
        <v>2.99</v>
      </c>
      <c r="D69" s="13">
        <f>SUBTOTAL(109,tblDues36479[MAR])</f>
        <v>0</v>
      </c>
      <c r="E69" s="13">
        <f>SUBTOTAL(109,tblDues36479[APR])</f>
        <v>0</v>
      </c>
      <c r="F69" s="13">
        <f>SUBTOTAL(109,tblDues36479[MAY])</f>
        <v>0</v>
      </c>
      <c r="G69" s="13">
        <f>SUBTOTAL(109,tblDues36479[JUN])</f>
        <v>0</v>
      </c>
      <c r="H69" s="13">
        <f>SUBTOTAL(109,tblDues36479[JUL])</f>
        <v>0</v>
      </c>
      <c r="I69" s="13">
        <f>SUBTOTAL(109,tblDues36479[AUG])</f>
        <v>0</v>
      </c>
      <c r="J69" s="13">
        <f>SUBTOTAL(109,tblDues36479[SEP])</f>
        <v>0</v>
      </c>
      <c r="K69" s="13">
        <f>SUBTOTAL(109,tblDues36479[OCT])</f>
        <v>0</v>
      </c>
      <c r="L69" s="13">
        <f>SUBTOTAL(109,tblDues36479[NOV])</f>
        <v>0</v>
      </c>
      <c r="M69" s="13">
        <f>SUBTOTAL(109,tblDues36479[DEC])</f>
        <v>0</v>
      </c>
      <c r="N69" s="13">
        <f>SUBTOTAL(109,tblDues36479[YEAR])</f>
        <v>57.519999999999996</v>
      </c>
      <c r="O69" s="31"/>
    </row>
    <row r="70" spans="1:16" s="5" customFormat="1" ht="22" customHeight="1" x14ac:dyDescent="0.1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3"/>
      <c r="P70" s="3"/>
    </row>
    <row r="71" spans="1:16" s="5" customFormat="1" ht="30" customHeight="1" x14ac:dyDescent="0.15">
      <c r="A71" s="16" t="s">
        <v>78</v>
      </c>
      <c r="B71" s="29" t="s">
        <v>18</v>
      </c>
      <c r="C71" s="29" t="s">
        <v>19</v>
      </c>
      <c r="D71" s="29" t="s">
        <v>20</v>
      </c>
      <c r="E71" s="29" t="s">
        <v>21</v>
      </c>
      <c r="F71" s="29" t="s">
        <v>22</v>
      </c>
      <c r="G71" s="29" t="s">
        <v>23</v>
      </c>
      <c r="H71" s="29" t="s">
        <v>24</v>
      </c>
      <c r="I71" s="29" t="s">
        <v>25</v>
      </c>
      <c r="J71" s="29" t="s">
        <v>26</v>
      </c>
      <c r="K71" s="29" t="s">
        <v>3</v>
      </c>
      <c r="L71" s="29" t="s">
        <v>27</v>
      </c>
      <c r="M71" s="29" t="s">
        <v>28</v>
      </c>
      <c r="N71" s="29" t="s">
        <v>29</v>
      </c>
      <c r="O71" s="32" t="s">
        <v>30</v>
      </c>
    </row>
    <row r="72" spans="1:16" s="5" customFormat="1" ht="22.25" customHeight="1" x14ac:dyDescent="0.15">
      <c r="A72" s="12" t="s">
        <v>79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>
        <f>SUM(tblPersonal374810[[#This Row],[JAN]:[DEC]])</f>
        <v>0</v>
      </c>
      <c r="O72" s="36">
        <v>46058</v>
      </c>
    </row>
    <row r="73" spans="1:16" s="5" customFormat="1" ht="22.25" customHeight="1" x14ac:dyDescent="0.15">
      <c r="A73" s="12" t="s">
        <v>80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>
        <f>SUM(tblPersonal374810[[#This Row],[JAN]:[DEC]])</f>
        <v>0</v>
      </c>
      <c r="O73" s="3"/>
    </row>
    <row r="74" spans="1:16" s="5" customFormat="1" ht="22.25" customHeight="1" x14ac:dyDescent="0.15">
      <c r="A74" s="12" t="s">
        <v>81</v>
      </c>
      <c r="B74" s="13">
        <v>11.99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>
        <f>SUM(tblPersonal374810[[#This Row],[JAN]:[DEC]])</f>
        <v>11.99</v>
      </c>
      <c r="O74" s="3"/>
    </row>
    <row r="75" spans="1:16" ht="22.25" customHeight="1" x14ac:dyDescent="0.15">
      <c r="A75" s="12" t="s">
        <v>82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>
        <f>SUM(tblPersonal374810[[#This Row],[JAN]:[DEC]])</f>
        <v>0</v>
      </c>
      <c r="O75" s="3"/>
      <c r="P75" s="18"/>
    </row>
    <row r="76" spans="1:16" s="19" customFormat="1" ht="22.25" customHeight="1" x14ac:dyDescent="0.15">
      <c r="A76" s="12" t="s">
        <v>35</v>
      </c>
      <c r="B76" s="13">
        <f>SUBTOTAL(109,tblPersonal374810[JAN])</f>
        <v>11.99</v>
      </c>
      <c r="C76" s="13">
        <f>SUBTOTAL(109,tblPersonal374810[FEB])</f>
        <v>0</v>
      </c>
      <c r="D76" s="13">
        <f>SUBTOTAL(109,tblPersonal374810[MAR])</f>
        <v>0</v>
      </c>
      <c r="E76" s="13">
        <f>SUBTOTAL(109,tblPersonal374810[APR])</f>
        <v>0</v>
      </c>
      <c r="F76" s="13">
        <f>SUBTOTAL(109,tblPersonal374810[MAY])</f>
        <v>0</v>
      </c>
      <c r="G76" s="13">
        <f>SUBTOTAL(109,tblPersonal374810[JUN])</f>
        <v>0</v>
      </c>
      <c r="H76" s="13">
        <f>SUBTOTAL(109,tblPersonal374810[JUL])</f>
        <v>0</v>
      </c>
      <c r="I76" s="13">
        <f>SUBTOTAL(109,tblPersonal374810[AUG])</f>
        <v>0</v>
      </c>
      <c r="J76" s="13">
        <f>SUBTOTAL(109,tblPersonal374810[SEP])</f>
        <v>0</v>
      </c>
      <c r="K76" s="13">
        <f>SUBTOTAL(109,tblPersonal374810[OCT])</f>
        <v>0</v>
      </c>
      <c r="L76" s="13">
        <f>SUBTOTAL(109,tblPersonal374810[NOV])</f>
        <v>0</v>
      </c>
      <c r="M76" s="13">
        <f>SUBTOTAL(109,tblPersonal374810[DEC])</f>
        <v>0</v>
      </c>
      <c r="N76" s="13">
        <f>SUBTOTAL(109,tblPersonal374810[YEAR])</f>
        <v>11.99</v>
      </c>
      <c r="O76" s="31"/>
    </row>
    <row r="77" spans="1:16" s="5" customFormat="1" ht="22" customHeight="1" x14ac:dyDescent="0.1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3"/>
      <c r="P77" s="3"/>
    </row>
    <row r="78" spans="1:16" s="5" customFormat="1" ht="30" customHeight="1" x14ac:dyDescent="0.15">
      <c r="A78" s="16" t="s">
        <v>83</v>
      </c>
      <c r="B78" s="29" t="s">
        <v>18</v>
      </c>
      <c r="C78" s="29" t="s">
        <v>19</v>
      </c>
      <c r="D78" s="29" t="s">
        <v>20</v>
      </c>
      <c r="E78" s="29" t="s">
        <v>21</v>
      </c>
      <c r="F78" s="29" t="s">
        <v>22</v>
      </c>
      <c r="G78" s="29" t="s">
        <v>23</v>
      </c>
      <c r="H78" s="29" t="s">
        <v>24</v>
      </c>
      <c r="I78" s="29" t="s">
        <v>25</v>
      </c>
      <c r="J78" s="29" t="s">
        <v>26</v>
      </c>
      <c r="K78" s="29" t="s">
        <v>3</v>
      </c>
      <c r="L78" s="29" t="s">
        <v>27</v>
      </c>
      <c r="M78" s="29" t="s">
        <v>28</v>
      </c>
      <c r="N78" s="29" t="s">
        <v>29</v>
      </c>
      <c r="O78" s="32" t="s">
        <v>30</v>
      </c>
      <c r="P78" s="117" t="s">
        <v>84</v>
      </c>
    </row>
    <row r="79" spans="1:16" s="5" customFormat="1" ht="30" customHeight="1" x14ac:dyDescent="0.15">
      <c r="A79" s="12" t="s">
        <v>85</v>
      </c>
      <c r="B79" s="31">
        <v>1000</v>
      </c>
      <c r="C79" s="31"/>
      <c r="D79" s="31"/>
      <c r="E79" s="31"/>
      <c r="F79" s="31"/>
      <c r="G79" s="31"/>
      <c r="H79" s="31"/>
      <c r="I79" s="13"/>
      <c r="J79" s="13"/>
      <c r="K79" s="31"/>
      <c r="L79" s="31"/>
      <c r="M79" s="31"/>
      <c r="N79" s="31">
        <f>SUM(tblFinancial384911[[#This Row],[JAN]:[DEC]])</f>
        <v>1000</v>
      </c>
      <c r="O79" s="36">
        <v>46058</v>
      </c>
      <c r="P79" s="118"/>
    </row>
    <row r="80" spans="1:16" s="5" customFormat="1" ht="22.25" customHeight="1" x14ac:dyDescent="0.15">
      <c r="A80" s="12" t="s">
        <v>86</v>
      </c>
      <c r="B80" s="13"/>
      <c r="C80" s="13">
        <v>150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>
        <f>SUM(tblFinancial384911[[#This Row],[JAN]:[DEC]])</f>
        <v>150</v>
      </c>
      <c r="O80" s="3"/>
    </row>
    <row r="81" spans="1:16" s="5" customFormat="1" ht="22.25" customHeight="1" x14ac:dyDescent="0.15">
      <c r="A81" s="12" t="s">
        <v>119</v>
      </c>
      <c r="B81" s="13">
        <v>43</v>
      </c>
      <c r="C81" s="13"/>
      <c r="D81" s="13"/>
      <c r="E81" s="13"/>
      <c r="F81" s="13"/>
      <c r="G81" s="13"/>
      <c r="H81" s="13"/>
      <c r="I81" s="13"/>
      <c r="J81" s="13"/>
      <c r="K81" s="31"/>
      <c r="L81" s="31"/>
      <c r="M81" s="13"/>
      <c r="N81" s="13">
        <f>SUM(tblFinancial384911[[#This Row],[JAN]:[DEC]])</f>
        <v>43</v>
      </c>
      <c r="O81" s="3"/>
    </row>
    <row r="82" spans="1:16" ht="22.25" customHeight="1" x14ac:dyDescent="0.15">
      <c r="A82" s="12" t="s">
        <v>87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>
        <f>SUM(tblFinancial384911[[#This Row],[JAN]:[DEC]])</f>
        <v>0</v>
      </c>
      <c r="O82" s="3"/>
      <c r="P82" s="5"/>
    </row>
    <row r="83" spans="1:16" s="19" customFormat="1" ht="22.25" customHeight="1" x14ac:dyDescent="0.15">
      <c r="A83" s="12" t="s">
        <v>35</v>
      </c>
      <c r="B83" s="13">
        <f>SUBTOTAL(109,tblFinancial384911[JAN])</f>
        <v>1043</v>
      </c>
      <c r="C83" s="13">
        <f>SUBTOTAL(109,tblFinancial384911[FEB])</f>
        <v>150</v>
      </c>
      <c r="D83" s="13">
        <f>SUBTOTAL(109,tblFinancial384911[MAR])</f>
        <v>0</v>
      </c>
      <c r="E83" s="13">
        <f>SUBTOTAL(109,tblFinancial384911[APR])</f>
        <v>0</v>
      </c>
      <c r="F83" s="13">
        <f>SUBTOTAL(109,tblFinancial384911[MAY])</f>
        <v>0</v>
      </c>
      <c r="G83" s="13">
        <f>SUBTOTAL(109,tblFinancial384911[JUN])</f>
        <v>0</v>
      </c>
      <c r="H83" s="13">
        <f>SUBTOTAL(109,tblFinancial384911[JUL])</f>
        <v>0</v>
      </c>
      <c r="I83" s="13">
        <f>SUBTOTAL(109,tblFinancial384911[AUG])</f>
        <v>0</v>
      </c>
      <c r="J83" s="13">
        <f>SUBTOTAL(109,tblFinancial384911[SEP])</f>
        <v>0</v>
      </c>
      <c r="K83" s="13">
        <f>SUBTOTAL(109,tblFinancial384911[OCT])</f>
        <v>0</v>
      </c>
      <c r="L83" s="13">
        <f>SUBTOTAL(109,tblFinancial384911[NOV])</f>
        <v>0</v>
      </c>
      <c r="M83" s="13">
        <f>SUBTOTAL(109,tblFinancial384911[DEC])</f>
        <v>0</v>
      </c>
      <c r="N83" s="13">
        <f>SUBTOTAL(109,tblFinancial384911[YEAR])</f>
        <v>1193</v>
      </c>
      <c r="O83" s="31"/>
      <c r="P83" s="31"/>
    </row>
    <row r="84" spans="1:16" s="5" customFormat="1" ht="22" customHeight="1" x14ac:dyDescent="0.1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3"/>
      <c r="P84" s="3"/>
    </row>
    <row r="85" spans="1:16" s="5" customFormat="1" ht="30" customHeight="1" x14ac:dyDescent="0.15">
      <c r="A85" s="16" t="s">
        <v>88</v>
      </c>
      <c r="B85" s="29" t="s">
        <v>18</v>
      </c>
      <c r="C85" s="29" t="s">
        <v>19</v>
      </c>
      <c r="D85" s="29" t="s">
        <v>20</v>
      </c>
      <c r="E85" s="29" t="s">
        <v>21</v>
      </c>
      <c r="F85" s="29" t="s">
        <v>22</v>
      </c>
      <c r="G85" s="29" t="s">
        <v>23</v>
      </c>
      <c r="H85" s="29" t="s">
        <v>24</v>
      </c>
      <c r="I85" s="29" t="s">
        <v>25</v>
      </c>
      <c r="J85" s="29" t="s">
        <v>26</v>
      </c>
      <c r="K85" s="29" t="s">
        <v>3</v>
      </c>
      <c r="L85" s="29" t="s">
        <v>27</v>
      </c>
      <c r="M85" s="29" t="s">
        <v>28</v>
      </c>
      <c r="N85" s="29" t="s">
        <v>29</v>
      </c>
      <c r="O85" s="32" t="s">
        <v>30</v>
      </c>
    </row>
    <row r="86" spans="1:16" s="5" customFormat="1" ht="22.25" customHeight="1" x14ac:dyDescent="0.15">
      <c r="A86" s="14" t="s">
        <v>89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>
        <f>SUM(tblMisc395012[[#This Row],[JAN]:[DEC]])</f>
        <v>0</v>
      </c>
      <c r="O86" s="120">
        <v>46058</v>
      </c>
    </row>
    <row r="87" spans="1:16" s="20" customFormat="1" ht="22.25" customHeight="1" x14ac:dyDescent="0.15">
      <c r="A87" s="12" t="s">
        <v>35</v>
      </c>
      <c r="B87" s="13">
        <f>SUBTOTAL(109,tblMisc395012[JAN])</f>
        <v>0</v>
      </c>
      <c r="C87" s="13">
        <f>SUBTOTAL(109,tblMisc395012[FEB])</f>
        <v>0</v>
      </c>
      <c r="D87" s="13">
        <f>SUBTOTAL(109,tblMisc395012[MAR])</f>
        <v>0</v>
      </c>
      <c r="E87" s="13">
        <f>SUBTOTAL(109,tblMisc395012[APR])</f>
        <v>0</v>
      </c>
      <c r="F87" s="13">
        <f>SUBTOTAL(109,tblMisc395012[MAY])</f>
        <v>0</v>
      </c>
      <c r="G87" s="13">
        <f>SUBTOTAL(109,tblMisc395012[JUN])</f>
        <v>0</v>
      </c>
      <c r="H87" s="13">
        <f>SUBTOTAL(109,tblMisc395012[JUL])</f>
        <v>0</v>
      </c>
      <c r="I87" s="13">
        <f>SUBTOTAL(109,tblMisc395012[AUG])</f>
        <v>0</v>
      </c>
      <c r="J87" s="13">
        <f>SUBTOTAL(109,tblMisc395012[SEP])</f>
        <v>0</v>
      </c>
      <c r="K87" s="13">
        <f>SUBTOTAL(109,tblMisc395012[OCT])</f>
        <v>0</v>
      </c>
      <c r="L87" s="13">
        <f>SUBTOTAL(109,tblMisc395012[NOV])</f>
        <v>0</v>
      </c>
      <c r="M87" s="13">
        <f>SUBTOTAL(109,tblMisc395012[DEC])</f>
        <v>0</v>
      </c>
      <c r="N87" s="13">
        <f>SUBTOTAL(109,tblMisc395012[YEAR])</f>
        <v>0</v>
      </c>
      <c r="O87" s="31"/>
    </row>
    <row r="88" spans="1:16" ht="22" customHeight="1" x14ac:dyDescent="0.1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3"/>
    </row>
    <row r="89" spans="1:16" ht="22" customHeight="1" x14ac:dyDescent="0.15">
      <c r="A89" s="33" t="s">
        <v>90</v>
      </c>
      <c r="B89" s="35" t="s">
        <v>91</v>
      </c>
      <c r="C89" s="34" t="s">
        <v>35</v>
      </c>
      <c r="D89" s="119" t="s">
        <v>118</v>
      </c>
      <c r="E89" s="119" t="s">
        <v>124</v>
      </c>
      <c r="F89" s="119" t="s">
        <v>125</v>
      </c>
      <c r="G89" s="4"/>
      <c r="H89" s="4"/>
      <c r="I89" s="35" t="s">
        <v>91</v>
      </c>
      <c r="J89" s="34" t="s">
        <v>35</v>
      </c>
      <c r="K89" s="4"/>
      <c r="L89" s="4"/>
      <c r="M89" s="4"/>
      <c r="N89" s="4"/>
      <c r="O89" s="3"/>
    </row>
    <row r="90" spans="1:16" ht="22" customHeight="1" x14ac:dyDescent="0.15">
      <c r="A90" s="30" t="s">
        <v>92</v>
      </c>
      <c r="B90" s="11">
        <v>19932.95</v>
      </c>
      <c r="C90" s="4">
        <v>22100.720000000001</v>
      </c>
      <c r="D90" s="4">
        <f>C90-B90</f>
        <v>2167.7700000000004</v>
      </c>
      <c r="E90" s="121">
        <v>9.6000000000000002E-2</v>
      </c>
      <c r="F90" s="122">
        <v>23000</v>
      </c>
      <c r="G90" s="4"/>
      <c r="H90" s="4"/>
      <c r="I90" s="11">
        <v>21237.06</v>
      </c>
      <c r="J90" s="4">
        <v>21237.06</v>
      </c>
      <c r="K90" s="4"/>
      <c r="L90" s="4"/>
      <c r="M90" s="4"/>
      <c r="N90" s="4"/>
      <c r="O90" s="3"/>
    </row>
    <row r="91" spans="1:16" ht="22" customHeight="1" x14ac:dyDescent="0.15">
      <c r="A91" s="30" t="s">
        <v>93</v>
      </c>
      <c r="B91" s="11">
        <v>9920.7900000000009</v>
      </c>
      <c r="C91" s="4">
        <v>9920.7900000000009</v>
      </c>
      <c r="D91" s="4">
        <f t="shared" ref="D91:D95" si="0">C91-B91</f>
        <v>0</v>
      </c>
      <c r="E91" s="121">
        <v>9.6500000000000002E-2</v>
      </c>
      <c r="F91" s="122">
        <v>12675</v>
      </c>
      <c r="G91" s="4"/>
      <c r="H91" s="4"/>
      <c r="I91" s="11">
        <v>9220.7900000000009</v>
      </c>
      <c r="J91" s="4">
        <v>9220.7900000000009</v>
      </c>
      <c r="K91" s="4"/>
      <c r="L91" s="4"/>
      <c r="M91" s="4"/>
      <c r="N91" s="4"/>
      <c r="O91" s="3"/>
    </row>
    <row r="92" spans="1:16" ht="22" customHeight="1" x14ac:dyDescent="0.15">
      <c r="A92" s="3" t="s">
        <v>94</v>
      </c>
      <c r="B92" s="11">
        <v>16184.06</v>
      </c>
      <c r="C92" s="4">
        <v>16184.06</v>
      </c>
      <c r="D92" s="4">
        <f t="shared" si="0"/>
        <v>0</v>
      </c>
      <c r="E92" s="121">
        <v>0.09</v>
      </c>
      <c r="F92" s="4"/>
      <c r="G92" s="4"/>
      <c r="H92" s="4"/>
      <c r="I92" s="11">
        <v>16184.06</v>
      </c>
      <c r="J92" s="4">
        <v>16184.06</v>
      </c>
      <c r="K92" s="4"/>
      <c r="L92" s="4"/>
      <c r="M92" s="4"/>
      <c r="N92" s="4"/>
      <c r="O92" s="3"/>
    </row>
    <row r="93" spans="1:16" ht="22" customHeight="1" x14ac:dyDescent="0.15">
      <c r="A93" s="3" t="s">
        <v>95</v>
      </c>
      <c r="B93" s="11">
        <v>155</v>
      </c>
      <c r="C93" s="4">
        <v>11000</v>
      </c>
      <c r="D93" s="4">
        <f t="shared" si="0"/>
        <v>10845</v>
      </c>
      <c r="E93" s="121">
        <v>0.121</v>
      </c>
      <c r="F93" s="4">
        <v>0</v>
      </c>
      <c r="G93" s="4"/>
      <c r="H93" s="4"/>
      <c r="I93" s="11">
        <v>5065.96</v>
      </c>
      <c r="J93" s="4">
        <v>9943.6200000000008</v>
      </c>
      <c r="K93" s="4"/>
      <c r="L93" s="4"/>
      <c r="M93" s="4"/>
      <c r="N93" s="4"/>
      <c r="O93" s="3"/>
    </row>
    <row r="94" spans="1:16" ht="22" customHeight="1" x14ac:dyDescent="0.15">
      <c r="A94" s="3" t="s">
        <v>96</v>
      </c>
      <c r="B94" s="11">
        <f>tblEntertainment32446[[#Totals],[Balance]]</f>
        <v>7662</v>
      </c>
      <c r="C94" s="11">
        <f>tblEntertainment32446[[#Totals],[Balance]]</f>
        <v>7662</v>
      </c>
      <c r="D94" s="4">
        <f t="shared" si="0"/>
        <v>0</v>
      </c>
      <c r="E94" s="4">
        <v>0</v>
      </c>
      <c r="F94" s="4"/>
      <c r="G94" s="4"/>
      <c r="H94" s="4"/>
      <c r="I94" s="11">
        <f>tblEntertainment32446[[#Totals],[Balance]]</f>
        <v>7662</v>
      </c>
      <c r="J94" s="11">
        <f>tblEntertainment32446[[#Totals],[Balance]]</f>
        <v>7662</v>
      </c>
      <c r="K94" s="4"/>
      <c r="L94" s="4"/>
      <c r="M94" s="4"/>
      <c r="N94" s="4"/>
      <c r="O94" s="3"/>
    </row>
    <row r="95" spans="1:16" ht="22" customHeight="1" x14ac:dyDescent="0.15">
      <c r="A95" s="33" t="s">
        <v>35</v>
      </c>
      <c r="B95" s="11">
        <f>SUM(B90:B94)</f>
        <v>53854.8</v>
      </c>
      <c r="C95" s="4">
        <f>SUM(C90:C94)</f>
        <v>66867.570000000007</v>
      </c>
      <c r="D95" s="4">
        <f t="shared" si="0"/>
        <v>13012.770000000004</v>
      </c>
      <c r="E95" s="4"/>
      <c r="F95" s="4"/>
      <c r="G95" s="4"/>
      <c r="H95" s="4"/>
      <c r="I95" s="11">
        <f>SUM(I90:I94)</f>
        <v>59369.87</v>
      </c>
      <c r="J95" s="4">
        <f>SUM(J90:J94)</f>
        <v>64247.530000000006</v>
      </c>
      <c r="K95" s="4"/>
      <c r="L95" s="4"/>
      <c r="M95" s="4"/>
      <c r="N95" s="4"/>
      <c r="O95" s="3"/>
    </row>
    <row r="96" spans="1:16" ht="22" customHeight="1" x14ac:dyDescent="0.15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3"/>
    </row>
    <row r="97" spans="1:15" ht="30" customHeight="1" x14ac:dyDescent="0.15">
      <c r="A97" s="21" t="s">
        <v>97</v>
      </c>
      <c r="B97" s="22" t="s">
        <v>18</v>
      </c>
      <c r="C97" s="23" t="s">
        <v>19</v>
      </c>
      <c r="D97" s="22" t="s">
        <v>20</v>
      </c>
      <c r="E97" s="23" t="s">
        <v>21</v>
      </c>
      <c r="F97" s="22" t="s">
        <v>22</v>
      </c>
      <c r="G97" s="23" t="s">
        <v>23</v>
      </c>
      <c r="H97" s="22" t="s">
        <v>24</v>
      </c>
      <c r="I97" s="23" t="s">
        <v>25</v>
      </c>
      <c r="J97" s="22" t="s">
        <v>26</v>
      </c>
      <c r="K97" s="23" t="s">
        <v>3</v>
      </c>
      <c r="L97" s="22" t="s">
        <v>27</v>
      </c>
      <c r="M97" s="23" t="s">
        <v>28</v>
      </c>
      <c r="N97" s="22" t="s">
        <v>29</v>
      </c>
      <c r="O97" s="21" t="s">
        <v>15</v>
      </c>
    </row>
    <row r="98" spans="1:15" ht="22" customHeight="1" x14ac:dyDescent="0.15">
      <c r="A98" s="6" t="s">
        <v>98</v>
      </c>
      <c r="B98" s="8">
        <f t="shared" ref="B98:J98" si="1">SUM(B21,B28,B34,B43,B51,B69,B76,B83,B87)</f>
        <v>3044.7200000000003</v>
      </c>
      <c r="C98" s="8">
        <f t="shared" si="1"/>
        <v>321.99</v>
      </c>
      <c r="D98" s="8">
        <f t="shared" si="1"/>
        <v>0</v>
      </c>
      <c r="E98" s="8">
        <f t="shared" si="1"/>
        <v>0</v>
      </c>
      <c r="F98" s="8">
        <f t="shared" si="1"/>
        <v>0</v>
      </c>
      <c r="G98" s="8">
        <f t="shared" si="1"/>
        <v>0</v>
      </c>
      <c r="H98" s="8">
        <f t="shared" si="1"/>
        <v>0</v>
      </c>
      <c r="I98" s="8">
        <f t="shared" si="1"/>
        <v>0</v>
      </c>
      <c r="J98" s="8">
        <f t="shared" si="1"/>
        <v>0</v>
      </c>
      <c r="K98" s="8">
        <f>SUM(K21,K28,K34,K43,K51,K69,K76,K83)</f>
        <v>0</v>
      </c>
      <c r="L98" s="8">
        <f>SUM(L21,L28,L34,L43,L51,L69,L76,L83)</f>
        <v>0</v>
      </c>
      <c r="M98" s="8">
        <f>SUM(M21,M28,M34,M43,M51,M69,M76,M83)</f>
        <v>0</v>
      </c>
      <c r="N98" s="8">
        <f>SUM(N21,N28,N34,N43,N51,N69,N76,N83)</f>
        <v>3366.7099999999996</v>
      </c>
      <c r="O98" s="9"/>
    </row>
    <row r="99" spans="1:15" ht="22" customHeight="1" x14ac:dyDescent="0.15">
      <c r="A99" s="6" t="s">
        <v>99</v>
      </c>
      <c r="B99" s="8">
        <f xml:space="preserve"> SUM(tblHome29413[[#Totals],[JAN]] + tblDaily30424[[#Totals],[JAN]] + tblTransportation31435[[#Totals],[JAN]] + tblEntertainment32446[[#Totals],[JAN]] + tblVacations34457[[#Totals],[JAN]]+ tblDues36479[[#Totals],[JAN]]+ tblPersonal374810[[#Totals],[JAN]])</f>
        <v>2001.72</v>
      </c>
      <c r="C99" s="8">
        <f xml:space="preserve"> SUM(tblHome29413[[#Totals],[FEB]] + tblDaily30424[[#Totals],[FEB]] + tblTransportation31435[[#Totals],[FEB]] + tblEntertainment32446[[#Totals],[FEB]] + tblVacations34457[[#Totals],[FEB]]+ tblDues36479[[#Totals],[FEB]]+ tblPersonal374810[[#Totals],[FEB]])</f>
        <v>171.99</v>
      </c>
      <c r="D99" s="8">
        <f xml:space="preserve"> SUM(tblHome29413[[#Totals],[MAR]] + tblDaily30424[[#Totals],[MAR]] + tblTransportation31435[[#Totals],[MAR]] + tblEntertainment32446[[#Totals],[MAR]] + tblVacations34457[[#Totals],[MAR]]+ tblDues36479[[#Totals],[MAR]]+ tblPersonal374810[[#Totals],[MAR]])</f>
        <v>0</v>
      </c>
      <c r="E99" s="8">
        <f xml:space="preserve"> SUM(tblHome29413[[#Totals],[APR]] + tblDaily30424[[#Totals],[APR]] + tblTransportation31435[[#Totals],[APR]] + tblEntertainment32446[[#Totals],[APR]] + tblVacations34457[[#Totals],[APR]]+ tblDues36479[[#Totals],[APR]]+ tblPersonal374810[[#Totals],[APR]])</f>
        <v>0</v>
      </c>
      <c r="F99" s="8">
        <f xml:space="preserve"> SUM(tblHome29413[[#Totals],[MAY]] + tblDaily30424[[#Totals],[MAY]] + tblTransportation31435[[#Totals],[MAY]] + tblEntertainment32446[[#Totals],[MAY]] + tblVacations34457[[#Totals],[MAY]]+ tblDues36479[[#Totals],[MAY]]+ tblPersonal374810[[#Totals],[MAY]])</f>
        <v>0</v>
      </c>
      <c r="G99" s="8">
        <f xml:space="preserve"> SUM(tblHome29413[[#Totals],[JUN]] + tblDaily30424[[#Totals],[JUN]] + tblTransportation31435[[#Totals],[JUN]] + tblEntertainment32446[[#Totals],[JUN]] + tblVacations34457[[#Totals],[JUN]]+ tblDues36479[[#Totals],[JUN]]+ tblPersonal374810[[#Totals],[JUN]])</f>
        <v>0</v>
      </c>
      <c r="H99" s="8">
        <f xml:space="preserve"> SUM(tblHome29413[[#Totals],[JUL]] + tblDaily30424[[#Totals],[JUL]] + tblTransportation31435[[#Totals],[JUL]] + tblEntertainment32446[[#Totals],[JUL]] + tblVacations34457[[#Totals],[JUL]]+ tblDues36479[[#Totals],[JUL]]+ tblPersonal374810[[#Totals],[JUL]])</f>
        <v>0</v>
      </c>
      <c r="I99" s="8">
        <f xml:space="preserve"> SUM(tblHome29413[[#Totals],[AUG]] + tblDaily30424[[#Totals],[AUG]] + tblTransportation31435[[#Totals],[AUG]] + tblEntertainment32446[[#Totals],[AUG]] + tblVacations34457[[#Totals],[AUG]]+ tblDues36479[[#Totals],[AUG]]+ tblPersonal374810[[#Totals],[AUG]])</f>
        <v>0</v>
      </c>
      <c r="J99" s="8">
        <f xml:space="preserve"> SUM(tblHome29413[[#Totals],[SEP]] + tblDaily30424[[#Totals],[SEP]] + tblTransportation31435[[#Totals],[SEP]] + tblEntertainment32446[[#Totals],[SEP]] + tblVacations34457[[#Totals],[SEP]]+ tblDues36479[[#Totals],[SEP]]+ tblPersonal374810[[#Totals],[SEP]])</f>
        <v>0</v>
      </c>
      <c r="K99" s="8">
        <f xml:space="preserve"> SUM(tblHome29413[[#Totals],[OCT]] + tblDaily30424[[#Totals],[OCT]] + tblTransportation31435[[#Totals],[OCT]] + tblEntertainment32446[[#Totals],[OCT]] + tblVacations34457[[#Totals],[OCT]]+ tblDues36479[[#Totals],[OCT]]+ tblPersonal374810[[#Totals],[OCT]])</f>
        <v>0</v>
      </c>
      <c r="L99" s="8">
        <f xml:space="preserve"> SUM(tblHome29413[[#Totals],[NOV]] + tblDaily30424[[#Totals],[NOV]] + tblTransportation31435[[#Totals],[NOV]] + tblEntertainment32446[[#Totals],[NOV]] + tblVacations34457[[#Totals],[NOV]]+ tblDues36479[[#Totals],[NOV]]+ tblPersonal374810[[#Totals],[NOV]])</f>
        <v>0</v>
      </c>
      <c r="M99" s="8">
        <f xml:space="preserve"> SUM(tblHome29413[[#Totals],[DEC]] + tblDaily30424[[#Totals],[DEC]] + tblTransportation31435[[#Totals],[DEC]] + tblEntertainment32446[[#Totals],[DEC]] + tblVacations34457[[#Totals],[DEC]]+ tblDues36479[[#Totals],[DEC]]+ tblPersonal374810[[#Totals],[DEC]])</f>
        <v>0</v>
      </c>
      <c r="N99" s="8">
        <f xml:space="preserve"> SUM(tblHome29413[[#Totals],[YEAR]] + tblDaily30424[[#Totals],[YEAR]] + tblTransportation31435[[#Totals],[YEAR]] + tblEntertainment32446[[#Totals],[YEAR]] + tblVacations34457[[#Totals],[YEAR]]+ tblDues36479[[#Totals],[YEAR]]+ tblPersonal374810[[#Totals],[YEAR]])</f>
        <v>2173.7099999999996</v>
      </c>
      <c r="O99" s="9"/>
    </row>
    <row r="100" spans="1:15" ht="22" customHeight="1" x14ac:dyDescent="0.15">
      <c r="A100" s="6" t="s">
        <v>100</v>
      </c>
      <c r="B100" s="8">
        <f>SUM(tblRecreation35468[[#Totals],[JAN]])</f>
        <v>0</v>
      </c>
      <c r="C100" s="8">
        <f>SUM(tblRecreation35468[[#Totals],[FEB]])</f>
        <v>0</v>
      </c>
      <c r="D100" s="8">
        <f>SUM(tblRecreation35468[[#Totals],[MAR]])</f>
        <v>0</v>
      </c>
      <c r="E100" s="8">
        <f>SUM(tblRecreation35468[[#Totals],[APR]])</f>
        <v>0</v>
      </c>
      <c r="F100" s="8">
        <f>SUM(tblRecreation35468[[#Totals],[MAY]])</f>
        <v>0</v>
      </c>
      <c r="G100" s="8">
        <f>SUM(tblRecreation35468[[#Totals],[JUN]])</f>
        <v>0</v>
      </c>
      <c r="H100" s="8">
        <f>SUM(tblRecreation35468[[#Totals],[JUL]])</f>
        <v>0</v>
      </c>
      <c r="I100" s="8">
        <f>SUM(tblRecreation35468[[#Totals],[AUG]])</f>
        <v>0</v>
      </c>
      <c r="J100" s="8">
        <f>SUM(tblRecreation35468[[#Totals],[SEP]])</f>
        <v>0</v>
      </c>
      <c r="K100" s="8">
        <f>SUM(tblRecreation35468[[#Totals],[OCT]])</f>
        <v>0</v>
      </c>
      <c r="L100" s="8">
        <f>SUM(tblRecreation35468[[#Totals],[NOV]])</f>
        <v>0</v>
      </c>
      <c r="M100" s="8">
        <f>SUM(tblRecreation35468[[#Totals],[DEC]])</f>
        <v>0</v>
      </c>
      <c r="N100" s="8">
        <f>SUM(I100:M100)</f>
        <v>0</v>
      </c>
      <c r="O100" s="9"/>
    </row>
    <row r="103" spans="1:15" ht="22" customHeight="1" x14ac:dyDescent="0.15">
      <c r="A103" s="38" t="s">
        <v>101</v>
      </c>
      <c r="B103" s="11">
        <f>I95</f>
        <v>59369.87</v>
      </c>
    </row>
    <row r="104" spans="1:15" ht="22" customHeight="1" x14ac:dyDescent="0.15">
      <c r="A104" s="10" t="s">
        <v>123</v>
      </c>
    </row>
  </sheetData>
  <printOptions horizontalCentered="1"/>
  <pageMargins left="0.25" right="0.25" top="0.75" bottom="0.75" header="0.3" footer="0.3"/>
  <pageSetup fitToHeight="0" orientation="landscape"/>
  <headerFooter differentFirst="1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EF3CA871-D649-3245-AD52-6BC296D45084}">
          <x14:colorSeries theme="0"/>
          <x14:colorNegative theme="6"/>
          <x14:colorAxis rgb="FF000000"/>
          <x14:colorMarkers theme="0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'New Sheet'!B98:M98</xm:f>
              <xm:sqref>O98</xm:sqref>
            </x14:sparkline>
            <x14:sparkline>
              <xm:f>'New Sheet'!B99:M99</xm:f>
              <xm:sqref>O99</xm:sqref>
            </x14:sparkline>
            <x14:sparkline>
              <xm:f>'New Sheet'!B100:M100</xm:f>
              <xm:sqref>O100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1C4CF09-E16C-491E-896B-59FA5BAAC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AF2BFB-A3F6-42EF-82A3-18ADC5F181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9016F9-7015-43E2-8C51-8C9B031A291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TM04035483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Loan Payments</vt:lpstr>
      <vt:lpstr>2026</vt:lpstr>
      <vt:lpstr>2026 Visualizations</vt:lpstr>
      <vt:lpstr>2025</vt:lpstr>
      <vt:lpstr>2025 Visualizations</vt:lpstr>
      <vt:lpstr>Sheet1</vt:lpstr>
      <vt:lpstr>Personal net worth</vt:lpstr>
      <vt:lpstr>New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praneeth palampalli</cp:lastModifiedBy>
  <cp:revision/>
  <dcterms:created xsi:type="dcterms:W3CDTF">2025-08-09T17:38:22Z</dcterms:created>
  <dcterms:modified xsi:type="dcterms:W3CDTF">2026-07-22T04:45:29Z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